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elipe Panosso\"/>
    </mc:Choice>
  </mc:AlternateContent>
  <xr:revisionPtr revIDLastSave="0" documentId="13_ncr:1_{97F90249-1F46-4A31-8853-DEF26D97D522}" xr6:coauthVersionLast="47" xr6:coauthVersionMax="47" xr10:uidLastSave="{00000000-0000-0000-0000-000000000000}"/>
  <bookViews>
    <workbookView xWindow="-120" yWindow="-120" windowWidth="20730" windowHeight="11040" xr2:uid="{426E491D-0859-4EDD-8396-0E24C37C9277}"/>
  </bookViews>
  <sheets>
    <sheet name="Planilha1" sheetId="1" r:id="rId1"/>
    <sheet name="hora maquina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B67" i="1"/>
  <c r="B66" i="1"/>
  <c r="C62" i="1"/>
  <c r="E62" i="1"/>
  <c r="E61" i="1"/>
  <c r="B57" i="1"/>
  <c r="B56" i="1"/>
  <c r="C61" i="1"/>
  <c r="E53" i="1"/>
  <c r="E52" i="1"/>
  <c r="C52" i="1"/>
  <c r="E51" i="1"/>
  <c r="C53" i="1"/>
  <c r="C51" i="1"/>
  <c r="B49" i="1"/>
  <c r="B47" i="1"/>
  <c r="B46" i="1"/>
  <c r="B38" i="1"/>
  <c r="B37" i="1"/>
  <c r="E34" i="1"/>
  <c r="E33" i="1"/>
  <c r="C34" i="1"/>
  <c r="C33" i="1"/>
  <c r="B29" i="1"/>
  <c r="B28" i="1"/>
  <c r="E25" i="1"/>
  <c r="C25" i="1"/>
  <c r="B21" i="1"/>
  <c r="B20" i="1"/>
  <c r="E17" i="1"/>
  <c r="E16" i="1"/>
  <c r="E15" i="1"/>
  <c r="C15" i="1"/>
  <c r="C16" i="1"/>
  <c r="C17" i="1"/>
  <c r="E74" i="1"/>
  <c r="C74" i="1"/>
  <c r="E73" i="1"/>
  <c r="C73" i="1"/>
  <c r="E72" i="1"/>
  <c r="C72" i="1"/>
  <c r="E71" i="1"/>
  <c r="C71" i="1"/>
  <c r="E54" i="1" l="1"/>
  <c r="E18" i="1"/>
  <c r="E63" i="1"/>
  <c r="E35" i="1"/>
  <c r="E75" i="1"/>
  <c r="E26" i="1"/>
  <c r="B13" i="1" l="1"/>
  <c r="B11" i="1"/>
  <c r="B10" i="1"/>
</calcChain>
</file>

<file path=xl/sharedStrings.xml><?xml version="1.0" encoding="utf-8"?>
<sst xmlns="http://schemas.openxmlformats.org/spreadsheetml/2006/main" count="148" uniqueCount="75">
  <si>
    <t>CÓDIGO TRUCKPARTS</t>
  </si>
  <si>
    <t>DESCRIÇÃO</t>
  </si>
  <si>
    <t>QTD</t>
  </si>
  <si>
    <t>MÁQUINA</t>
  </si>
  <si>
    <t>CUSTO HORA MÁQUINA</t>
  </si>
  <si>
    <t>SEGUNDOS</t>
  </si>
  <si>
    <t>CHAPA 1200 X 3000</t>
  </si>
  <si>
    <t>PESO UNITÁRIO</t>
  </si>
  <si>
    <t>Laser Calfran</t>
  </si>
  <si>
    <t>3mm</t>
  </si>
  <si>
    <t>Dobradeira ERMAK 3300</t>
  </si>
  <si>
    <t>3/16"</t>
  </si>
  <si>
    <t>Guilhotina</t>
  </si>
  <si>
    <t>1/4"</t>
  </si>
  <si>
    <t>Maquina de Solda</t>
  </si>
  <si>
    <t>5/16"</t>
  </si>
  <si>
    <t>Prensa</t>
  </si>
  <si>
    <t>3/8"</t>
  </si>
  <si>
    <t>Policorte</t>
  </si>
  <si>
    <t>1/2"</t>
  </si>
  <si>
    <t>Limpeza</t>
  </si>
  <si>
    <t>5/8"</t>
  </si>
  <si>
    <t>Pintura</t>
  </si>
  <si>
    <t>Furadeira</t>
  </si>
  <si>
    <t>Embalagem OPERADOR MÉDIO</t>
  </si>
  <si>
    <t>Serra Fita</t>
  </si>
  <si>
    <t>VALOR DO AÇO (CHAPAS JANDAIA)</t>
  </si>
  <si>
    <t>50mm</t>
  </si>
  <si>
    <t>110mm</t>
  </si>
  <si>
    <t>Tubo Bucha Interna Pino 50mm</t>
  </si>
  <si>
    <t>-</t>
  </si>
  <si>
    <t>Tubo Bucha Interna Pino 60,4mm / 61,5mm</t>
  </si>
  <si>
    <t>Tubo Bucha Externa</t>
  </si>
  <si>
    <t>Tabela de Cementação</t>
  </si>
  <si>
    <t>Até 50kg</t>
  </si>
  <si>
    <t>Acima de 50kg</t>
  </si>
  <si>
    <t>SUPORTE CENTRAL SR 2000 PINO 50MM</t>
  </si>
  <si>
    <t>Chapa 1/4" do Suporte SR 2000 Pino 50mm</t>
  </si>
  <si>
    <t>Arruela 50 x 25 x 5/16"</t>
  </si>
  <si>
    <t>Reforço 1/4" Interno do Suporte Central SR 2000</t>
  </si>
  <si>
    <t>Cantoneira 115 x 60 x 1/4"</t>
  </si>
  <si>
    <t>Reforço 1/4" do Mancal Ferradura</t>
  </si>
  <si>
    <t>RN 01007</t>
  </si>
  <si>
    <t>TP 01007A</t>
  </si>
  <si>
    <t>TP 01007B</t>
  </si>
  <si>
    <t>TP 01007C</t>
  </si>
  <si>
    <t>Chapa 1/2" Mancal do Suporte Central da Carreta Pino 50mm</t>
  </si>
  <si>
    <t>TP 01007D</t>
  </si>
  <si>
    <t>TP 01007E</t>
  </si>
  <si>
    <t>PESO LÍQUIDO UNITÁRIO</t>
  </si>
  <si>
    <t>Código:</t>
  </si>
  <si>
    <t>Descrição:</t>
  </si>
  <si>
    <t>Lote Economico:</t>
  </si>
  <si>
    <t>Quantidade:</t>
  </si>
  <si>
    <t>Processo</t>
  </si>
  <si>
    <t>Tempo de Setup</t>
  </si>
  <si>
    <t>Custo de Setup</t>
  </si>
  <si>
    <t>Tempo de Processo</t>
  </si>
  <si>
    <t>Custo de Processo</t>
  </si>
  <si>
    <t>Cortar no Laser</t>
  </si>
  <si>
    <t>CUSTO TOTAL</t>
  </si>
  <si>
    <t>Estampar na Prensa</t>
  </si>
  <si>
    <t>Dobrar na Dobradeira</t>
  </si>
  <si>
    <t>Cortar na Guilhotina</t>
  </si>
  <si>
    <t>Soldar na Mig</t>
  </si>
  <si>
    <t>Montagem</t>
  </si>
  <si>
    <t>Repicar na Guilhotina</t>
  </si>
  <si>
    <t xml:space="preserve">PESO BRUTO </t>
  </si>
  <si>
    <t>Matéria Prima</t>
  </si>
  <si>
    <t>Chapa de Aço 1/4"</t>
  </si>
  <si>
    <t>Chapa de Aço 5/16"</t>
  </si>
  <si>
    <t>Chapa de Aço 1/2"</t>
  </si>
  <si>
    <t>% perca</t>
  </si>
  <si>
    <t>Dobrar na Prensa</t>
  </si>
  <si>
    <t>TP 01022A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</si>
</sst>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3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4" fontId="0" fillId="2" borderId="1" xfId="2" applyFont="1" applyFill="1" applyBorder="1" applyAlignment="1">
      <alignment horizontal="center"/>
    </xf>
    <xf numFmtId="44" fontId="0" fillId="2" borderId="1" xfId="0" applyNumberFormat="1" applyFill="1" applyBorder="1"/>
    <xf numFmtId="0" fontId="0" fillId="0" borderId="1" xfId="0" applyBorder="1" applyAlignment="1">
      <alignment horizontal="center"/>
    </xf>
    <xf numFmtId="43" fontId="0" fillId="4" borderId="1" xfId="1" applyFont="1" applyFill="1" applyBorder="1" applyAlignment="1">
      <alignment horizontal="center"/>
    </xf>
    <xf numFmtId="44" fontId="0" fillId="4" borderId="1" xfId="2" applyFont="1" applyFill="1" applyBorder="1" applyAlignment="1">
      <alignment horizontal="center"/>
    </xf>
    <xf numFmtId="44" fontId="0" fillId="4" borderId="1" xfId="0" applyNumberFormat="1" applyFill="1" applyBorder="1"/>
    <xf numFmtId="44" fontId="0" fillId="4" borderId="1" xfId="2" applyFont="1" applyFill="1" applyBorder="1"/>
    <xf numFmtId="43" fontId="0" fillId="2" borderId="2" xfId="1" applyFont="1" applyFill="1" applyBorder="1" applyAlignment="1">
      <alignment horizontal="center"/>
    </xf>
    <xf numFmtId="43" fontId="2" fillId="3" borderId="3" xfId="1" applyFont="1" applyFill="1" applyBorder="1"/>
    <xf numFmtId="44" fontId="0" fillId="2" borderId="1" xfId="2" applyFont="1" applyFill="1" applyBorder="1"/>
    <xf numFmtId="0" fontId="2" fillId="3" borderId="1" xfId="0" applyFont="1" applyFill="1" applyBorder="1"/>
    <xf numFmtId="44" fontId="0" fillId="0" borderId="2" xfId="2" applyFont="1" applyBorder="1"/>
    <xf numFmtId="44" fontId="0" fillId="0" borderId="1" xfId="0" applyNumberFormat="1" applyBorder="1" applyAlignment="1">
      <alignment horizontal="center"/>
    </xf>
    <xf numFmtId="0" fontId="0" fillId="0" borderId="1" xfId="0" applyBorder="1"/>
    <xf numFmtId="44" fontId="0" fillId="0" borderId="1" xfId="2" applyFont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3" xfId="0" applyFill="1" applyBorder="1"/>
    <xf numFmtId="44" fontId="0" fillId="2" borderId="1" xfId="0" applyNumberFormat="1" applyFill="1" applyBorder="1" applyAlignment="1">
      <alignment horizontal="center"/>
    </xf>
    <xf numFmtId="44" fontId="0" fillId="2" borderId="1" xfId="3" applyFont="1" applyFill="1" applyBorder="1"/>
    <xf numFmtId="44" fontId="0" fillId="2" borderId="1" xfId="3" applyFont="1" applyFill="1" applyBorder="1" applyAlignment="1">
      <alignment horizontal="center"/>
    </xf>
    <xf numFmtId="9" fontId="0" fillId="2" borderId="1" xfId="4" applyFont="1" applyFill="1" applyBorder="1" applyAlignment="1">
      <alignment horizontal="center"/>
    </xf>
    <xf numFmtId="2" fontId="0" fillId="2" borderId="0" xfId="0" applyNumberFormat="1" applyFill="1"/>
    <xf numFmtId="9" fontId="0" fillId="2" borderId="0" xfId="4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0" fillId="2" borderId="0" xfId="0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right"/>
    </xf>
    <xf numFmtId="44" fontId="3" fillId="5" borderId="1" xfId="0" applyNumberFormat="1" applyFont="1" applyFill="1" applyBorder="1"/>
    <xf numFmtId="0" fontId="3" fillId="5" borderId="2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</cellXfs>
  <cellStyles count="5">
    <cellStyle name="Moeda" xfId="3" builtinId="4"/>
    <cellStyle name="Moeda 2" xfId="2" xr:uid="{90C891F5-AD12-4316-B6A2-D070EB4A0C5A}"/>
    <cellStyle name="Normal" xfId="0" builtinId="0"/>
    <cellStyle name="Porcentagem" xfId="4" builtinId="5"/>
    <cellStyle name="Vírgula 2" xfId="1" xr:uid="{ED24A2CE-7C32-46A8-BA14-ECC75FE85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790575</xdr:colOff>
      <xdr:row>9</xdr:row>
      <xdr:rowOff>57150</xdr:rowOff>
    </xdr:from>
    <xdr:to>
      <xdr:col>10</xdr:col>
      <xdr:colOff>133632</xdr:colOff>
      <xdr:row>21</xdr:row>
      <xdr:rowOff>152732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A7786F-EC1C-95FD-970A-17A6DBAF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771650"/>
          <a:ext cx="2019582" cy="23815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TRUCKPARTS\ENGENHARIA\Engenharia.xlsx" TargetMode="External"/><Relationship Id="rId1" Type="http://schemas.openxmlformats.org/officeDocument/2006/relationships/externalLinkPath" Target="/Users/Lenovo/Documents/TRUCKPARTS/ENGENHARIA/Engenha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CHAS"/>
      <sheetName val="RESUMO"/>
      <sheetName val="DV 06124"/>
      <sheetName val="NO 0375"/>
      <sheetName val="SAPATA GRAMPO HUBNER"/>
      <sheetName val="SAPATA DO EIXO HUBNER"/>
      <sheetName val="RN 0103"/>
      <sheetName val="su 02032"/>
      <sheetName val="DADOS"/>
      <sheetName val="FA 0703"/>
      <sheetName val="RO 0209"/>
      <sheetName val="SF 0525"/>
      <sheetName val="SU 01008"/>
      <sheetName val="SU 01008 PRIME"/>
      <sheetName val="SU 1009"/>
      <sheetName val="SU 1017"/>
      <sheetName val="SU 1018.1"/>
      <sheetName val="SU 1018"/>
      <sheetName val="SU 1019"/>
      <sheetName val="SU 1020"/>
      <sheetName val="SU 1020 FORCE"/>
      <sheetName val="SU 1022"/>
      <sheetName val="SU 1022A"/>
      <sheetName val="SU 1023"/>
      <sheetName val="SU 1023A"/>
      <sheetName val="SU 1041"/>
      <sheetName val="SU 1041A"/>
      <sheetName val="SU 1051"/>
      <sheetName val="SU 1054"/>
      <sheetName val="SU 1086"/>
      <sheetName val="SU 1104"/>
      <sheetName val="SU 1105"/>
      <sheetName val="SU 1120"/>
      <sheetName val="SU 1122"/>
      <sheetName val="SU 1127"/>
      <sheetName val="GR 0417"/>
      <sheetName val="GR 0420"/>
      <sheetName val="GR 0402"/>
      <sheetName val="GR 0421"/>
      <sheetName val="GR 0457"/>
      <sheetName val="GR 0458"/>
      <sheetName val="RN 0102"/>
      <sheetName val="RN 019927"/>
      <sheetName val="RN 0107"/>
      <sheetName val="RN 0107A"/>
      <sheetName val="RN 0154"/>
      <sheetName val="RN 019910"/>
      <sheetName val="RN 019911"/>
      <sheetName val="RN 01995"/>
      <sheetName val="DV 1410"/>
      <sheetName val="DV-1412C"/>
      <sheetName val="DV 73017"/>
      <sheetName val="SP 3004 2F"/>
      <sheetName val="SP 3004 3F"/>
      <sheetName val="NO 0363"/>
      <sheetName val="LB 1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>
            <v>3.2930555555555553E-2</v>
          </cell>
        </row>
        <row r="5">
          <cell r="C5">
            <v>1.0302777777777779E-2</v>
          </cell>
        </row>
        <row r="8">
          <cell r="C8">
            <v>7.1638888888888889E-3</v>
          </cell>
        </row>
        <row r="9">
          <cell r="C9">
            <v>1.7642639440035274E-2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94B3-8F70-44B5-B993-9A78860BACD5}">
  <dimension ref="A1:H75"/>
  <sheetViews>
    <sheetView tabSelected="1" workbookViewId="0">
      <selection activeCell="D65" sqref="D65"/>
    </sheetView>
  </sheetViews>
  <sheetFormatPr defaultRowHeight="15" x14ac:dyDescent="0.25"/>
  <cols>
    <col min="1" max="1" width="20.140625" style="25" bestFit="1" customWidth="1"/>
    <col min="2" max="2" width="55.5703125" style="25" bestFit="1" customWidth="1"/>
    <col min="3" max="3" width="20.85546875" style="25" customWidth="1"/>
    <col min="4" max="4" width="18.42578125" style="25" bestFit="1" customWidth="1"/>
    <col min="5" max="5" width="22.42578125" style="25" customWidth="1"/>
    <col min="6" max="6" width="23" style="25" bestFit="1" customWidth="1"/>
    <col min="7" max="7" width="12.7109375" style="25" customWidth="1"/>
    <col min="8" max="8" width="9.140625" style="25" customWidth="1"/>
    <col min="9" max="16384" width="9.140625" style="25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68</v>
      </c>
      <c r="E1" s="1" t="s">
        <v>49</v>
      </c>
      <c r="F1" s="1" t="s">
        <v>67</v>
      </c>
      <c r="G1" s="1" t="s">
        <v>72</v>
      </c>
    </row>
    <row r="2" spans="1:8" x14ac:dyDescent="0.25">
      <c r="A2" s="21" t="s">
        <v>42</v>
      </c>
      <c r="B2" s="23" t="s">
        <v>36</v>
      </c>
      <c r="C2" s="1"/>
      <c r="D2" s="1"/>
      <c r="E2" s="2"/>
      <c r="F2" s="2"/>
      <c r="G2" s="2"/>
    </row>
    <row r="3" spans="1:8" x14ac:dyDescent="0.25">
      <c r="A3" s="22" t="s">
        <v>43</v>
      </c>
      <c r="B3" s="2" t="s">
        <v>37</v>
      </c>
      <c r="C3" s="1">
        <v>1</v>
      </c>
      <c r="D3" s="1" t="s">
        <v>69</v>
      </c>
      <c r="E3" s="1">
        <v>10.199999999999999</v>
      </c>
      <c r="F3" s="38">
        <v>14.95</v>
      </c>
      <c r="G3" s="31">
        <f>(F3/E3)-1</f>
        <v>0.46568627450980404</v>
      </c>
    </row>
    <row r="4" spans="1:8" x14ac:dyDescent="0.25">
      <c r="A4" s="2" t="s">
        <v>44</v>
      </c>
      <c r="B4" s="2" t="s">
        <v>38</v>
      </c>
      <c r="C4" s="1">
        <v>2</v>
      </c>
      <c r="D4" s="1" t="s">
        <v>70</v>
      </c>
      <c r="E4" s="1">
        <v>0.16</v>
      </c>
      <c r="F4" s="38">
        <v>0.17</v>
      </c>
      <c r="G4" s="31">
        <f>(F4/E4)-1</f>
        <v>6.25E-2</v>
      </c>
    </row>
    <row r="5" spans="1:8" x14ac:dyDescent="0.25">
      <c r="A5" s="2" t="s">
        <v>45</v>
      </c>
      <c r="B5" s="2" t="s">
        <v>39</v>
      </c>
      <c r="C5" s="1">
        <v>2</v>
      </c>
      <c r="D5" s="1" t="s">
        <v>69</v>
      </c>
      <c r="E5" s="1">
        <v>0.55000000000000004</v>
      </c>
      <c r="F5" s="38">
        <v>0.83</v>
      </c>
      <c r="G5" s="31">
        <f>(F5/E5)-1</f>
        <v>0.50909090909090882</v>
      </c>
    </row>
    <row r="6" spans="1:8" x14ac:dyDescent="0.25">
      <c r="A6" s="2" t="s">
        <v>74</v>
      </c>
      <c r="B6" s="22" t="s">
        <v>46</v>
      </c>
      <c r="C6" s="1">
        <v>2</v>
      </c>
      <c r="D6" s="1" t="s">
        <v>71</v>
      </c>
      <c r="E6" s="1">
        <v>0.76</v>
      </c>
      <c r="F6" s="38">
        <v>0.98</v>
      </c>
      <c r="G6" s="31">
        <f>(F6/E6)-1</f>
        <v>0.28947368421052633</v>
      </c>
    </row>
    <row r="7" spans="1:8" x14ac:dyDescent="0.25">
      <c r="A7" s="22" t="s">
        <v>47</v>
      </c>
      <c r="B7" s="2" t="s">
        <v>40</v>
      </c>
      <c r="C7" s="1">
        <v>1</v>
      </c>
      <c r="D7" s="1" t="s">
        <v>69</v>
      </c>
      <c r="E7" s="1">
        <v>0.35</v>
      </c>
      <c r="F7" s="38">
        <v>0.4</v>
      </c>
      <c r="G7" s="31">
        <f>(F7/E7)-1</f>
        <v>0.14285714285714302</v>
      </c>
    </row>
    <row r="8" spans="1:8" x14ac:dyDescent="0.25">
      <c r="A8" s="2" t="s">
        <v>48</v>
      </c>
      <c r="B8" s="2" t="s">
        <v>41</v>
      </c>
      <c r="C8" s="1">
        <v>2</v>
      </c>
      <c r="D8" s="1" t="s">
        <v>69</v>
      </c>
      <c r="E8" s="1">
        <v>0.32</v>
      </c>
      <c r="F8" s="38">
        <v>0.45</v>
      </c>
      <c r="G8" s="31">
        <f>(F8/E8)-1</f>
        <v>0.40625</v>
      </c>
    </row>
    <row r="9" spans="1:8" x14ac:dyDescent="0.25">
      <c r="H9" s="32"/>
    </row>
    <row r="10" spans="1:8" x14ac:dyDescent="0.25">
      <c r="A10" s="2" t="s">
        <v>50</v>
      </c>
      <c r="B10" s="2" t="str">
        <f>A3</f>
        <v>TP 01007A</v>
      </c>
      <c r="C10" s="24"/>
      <c r="D10" s="33"/>
      <c r="E10" s="33"/>
      <c r="F10" s="33"/>
    </row>
    <row r="11" spans="1:8" x14ac:dyDescent="0.25">
      <c r="A11" s="2" t="s">
        <v>51</v>
      </c>
      <c r="B11" s="2" t="str">
        <f>B3</f>
        <v>Chapa 1/4" do Suporte SR 2000 Pino 50mm</v>
      </c>
      <c r="D11" s="26"/>
      <c r="E11" s="26"/>
      <c r="F11" s="26"/>
    </row>
    <row r="12" spans="1:8" x14ac:dyDescent="0.25">
      <c r="A12" s="2" t="s">
        <v>52</v>
      </c>
      <c r="B12" s="1">
        <v>100</v>
      </c>
      <c r="D12" s="26"/>
      <c r="E12" s="26"/>
      <c r="F12" s="26"/>
    </row>
    <row r="13" spans="1:8" x14ac:dyDescent="0.25">
      <c r="A13" s="27" t="s">
        <v>53</v>
      </c>
      <c r="B13" s="1">
        <f>C3</f>
        <v>1</v>
      </c>
      <c r="D13" s="26"/>
      <c r="E13" s="26"/>
      <c r="F13" s="26"/>
    </row>
    <row r="14" spans="1:8" x14ac:dyDescent="0.25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</row>
    <row r="15" spans="1:8" x14ac:dyDescent="0.25">
      <c r="A15" s="2" t="s">
        <v>59</v>
      </c>
      <c r="B15" s="1">
        <v>300</v>
      </c>
      <c r="C15" s="28">
        <f>(B15*'hora maquina'!C2)/B12</f>
        <v>9.8791666666666667E-2</v>
      </c>
      <c r="D15" s="1">
        <v>150</v>
      </c>
      <c r="E15" s="28">
        <f>D15*'hora maquina'!C2</f>
        <v>4.9395833333333332</v>
      </c>
    </row>
    <row r="16" spans="1:8" x14ac:dyDescent="0.25">
      <c r="A16" s="2" t="s">
        <v>61</v>
      </c>
      <c r="B16" s="1">
        <v>1200</v>
      </c>
      <c r="C16" s="28">
        <f>B16*'hora maquina'!C6/B12</f>
        <v>0.13886666666666667</v>
      </c>
      <c r="D16" s="1">
        <v>35</v>
      </c>
      <c r="E16" s="28">
        <f>D16*'hora maquina'!C6</f>
        <v>0.40502777777777776</v>
      </c>
    </row>
    <row r="17" spans="1:6" x14ac:dyDescent="0.25">
      <c r="A17" s="2" t="s">
        <v>62</v>
      </c>
      <c r="B17" s="1">
        <v>600</v>
      </c>
      <c r="C17" s="28">
        <f>(B17*'hora maquina'!C3)/B12</f>
        <v>0.18441666666666667</v>
      </c>
      <c r="D17" s="1">
        <v>90</v>
      </c>
      <c r="E17" s="28">
        <f>D17*'hora maquina'!C3</f>
        <v>2.7662500000000003</v>
      </c>
    </row>
    <row r="18" spans="1:6" x14ac:dyDescent="0.25">
      <c r="A18" s="39" t="s">
        <v>60</v>
      </c>
      <c r="B18" s="39"/>
      <c r="C18" s="39"/>
      <c r="D18" s="39"/>
      <c r="E18" s="40">
        <f>C15+C16+C17+E15+E16+E17</f>
        <v>8.5329361111111108</v>
      </c>
    </row>
    <row r="20" spans="1:6" x14ac:dyDescent="0.25">
      <c r="A20" s="2" t="s">
        <v>50</v>
      </c>
      <c r="B20" s="2" t="str">
        <f>A4</f>
        <v>TP 01007B</v>
      </c>
      <c r="C20" s="24"/>
      <c r="D20" s="33"/>
      <c r="E20" s="33"/>
      <c r="F20" s="33"/>
    </row>
    <row r="21" spans="1:6" x14ac:dyDescent="0.25">
      <c r="A21" s="2" t="s">
        <v>51</v>
      </c>
      <c r="B21" s="2" t="str">
        <f>B4</f>
        <v>Arruela 50 x 25 x 5/16"</v>
      </c>
      <c r="D21" s="26"/>
      <c r="E21" s="26"/>
      <c r="F21" s="26"/>
    </row>
    <row r="22" spans="1:6" x14ac:dyDescent="0.25">
      <c r="A22" s="2" t="s">
        <v>52</v>
      </c>
      <c r="B22" s="1">
        <v>200</v>
      </c>
      <c r="D22" s="26"/>
      <c r="E22" s="26"/>
      <c r="F22" s="26"/>
    </row>
    <row r="23" spans="1:6" x14ac:dyDescent="0.25">
      <c r="A23" s="2" t="s">
        <v>53</v>
      </c>
      <c r="B23" s="1">
        <v>2</v>
      </c>
      <c r="D23" s="26"/>
      <c r="E23" s="26"/>
      <c r="F23" s="26"/>
    </row>
    <row r="24" spans="1:6" x14ac:dyDescent="0.25">
      <c r="A24" s="1" t="s">
        <v>54</v>
      </c>
      <c r="B24" s="1" t="s">
        <v>55</v>
      </c>
      <c r="C24" s="1" t="s">
        <v>56</v>
      </c>
      <c r="D24" s="1" t="s">
        <v>57</v>
      </c>
      <c r="E24" s="1" t="s">
        <v>58</v>
      </c>
    </row>
    <row r="25" spans="1:6" x14ac:dyDescent="0.25">
      <c r="A25" s="2" t="s">
        <v>59</v>
      </c>
      <c r="B25" s="1">
        <v>300</v>
      </c>
      <c r="C25" s="29">
        <f>(B25*'hora maquina'!C2)/B22</f>
        <v>4.9395833333333333E-2</v>
      </c>
      <c r="D25" s="1">
        <v>10</v>
      </c>
      <c r="E25" s="29">
        <f>D25*'hora maquina'!C2</f>
        <v>0.32930555555555552</v>
      </c>
    </row>
    <row r="26" spans="1:6" x14ac:dyDescent="0.25">
      <c r="A26" s="39" t="s">
        <v>60</v>
      </c>
      <c r="B26" s="39"/>
      <c r="C26" s="39"/>
      <c r="D26" s="39"/>
      <c r="E26" s="40">
        <f>(C25+E25)*B23</f>
        <v>0.75740277777777765</v>
      </c>
    </row>
    <row r="28" spans="1:6" x14ac:dyDescent="0.25">
      <c r="A28" s="2" t="s">
        <v>50</v>
      </c>
      <c r="B28" s="2" t="str">
        <f>A5</f>
        <v>TP 01007C</v>
      </c>
      <c r="C28" s="24"/>
      <c r="D28" s="33"/>
      <c r="E28" s="33"/>
      <c r="F28" s="33"/>
    </row>
    <row r="29" spans="1:6" x14ac:dyDescent="0.25">
      <c r="A29" s="2" t="s">
        <v>51</v>
      </c>
      <c r="B29" s="2" t="str">
        <f>B5</f>
        <v>Reforço 1/4" Interno do Suporte Central SR 2000</v>
      </c>
      <c r="D29" s="26"/>
      <c r="E29" s="26"/>
      <c r="F29" s="26"/>
    </row>
    <row r="30" spans="1:6" x14ac:dyDescent="0.25">
      <c r="A30" s="2" t="s">
        <v>52</v>
      </c>
      <c r="B30" s="1">
        <v>200</v>
      </c>
      <c r="D30" s="26"/>
      <c r="E30" s="26"/>
      <c r="F30" s="26"/>
    </row>
    <row r="31" spans="1:6" x14ac:dyDescent="0.25">
      <c r="A31" s="2" t="s">
        <v>53</v>
      </c>
      <c r="B31" s="1">
        <v>2</v>
      </c>
      <c r="D31" s="26"/>
      <c r="E31" s="26"/>
      <c r="F31" s="26"/>
    </row>
    <row r="32" spans="1:6" x14ac:dyDescent="0.25">
      <c r="A32" s="1" t="s">
        <v>54</v>
      </c>
      <c r="B32" s="1" t="s">
        <v>55</v>
      </c>
      <c r="C32" s="1" t="s">
        <v>56</v>
      </c>
      <c r="D32" s="1" t="s">
        <v>57</v>
      </c>
      <c r="E32" s="1" t="s">
        <v>58</v>
      </c>
    </row>
    <row r="33" spans="1:6" x14ac:dyDescent="0.25">
      <c r="A33" s="2" t="s">
        <v>59</v>
      </c>
      <c r="B33" s="1">
        <v>300</v>
      </c>
      <c r="C33" s="29">
        <f>(B33*'hora maquina'!C2)/B30</f>
        <v>4.9395833333333333E-2</v>
      </c>
      <c r="D33" s="1">
        <v>20</v>
      </c>
      <c r="E33" s="29">
        <f>D33*'hora maquina'!C2</f>
        <v>0.65861111111111104</v>
      </c>
    </row>
    <row r="34" spans="1:6" x14ac:dyDescent="0.25">
      <c r="A34" s="2" t="s">
        <v>62</v>
      </c>
      <c r="B34" s="1">
        <v>300</v>
      </c>
      <c r="C34" s="29">
        <f>(B34*'hora maquina'!C3)/B30</f>
        <v>4.6104166666666668E-2</v>
      </c>
      <c r="D34" s="1">
        <v>70</v>
      </c>
      <c r="E34" s="29">
        <f>D34*'hora maquina'!C3</f>
        <v>2.1515277777777779</v>
      </c>
    </row>
    <row r="35" spans="1:6" x14ac:dyDescent="0.25">
      <c r="A35" s="41" t="s">
        <v>60</v>
      </c>
      <c r="B35" s="42"/>
      <c r="C35" s="42"/>
      <c r="D35" s="43"/>
      <c r="E35" s="40">
        <f>(SUM(C33:C34)+SUM(E33:E34))*B31</f>
        <v>5.8112777777777778</v>
      </c>
    </row>
    <row r="37" spans="1:6" x14ac:dyDescent="0.25">
      <c r="A37" s="2" t="s">
        <v>50</v>
      </c>
      <c r="B37" s="2" t="str">
        <f>A6</f>
        <v>TP 01022A</v>
      </c>
      <c r="C37" s="24"/>
      <c r="D37" s="33"/>
      <c r="E37" s="33"/>
      <c r="F37" s="33"/>
    </row>
    <row r="38" spans="1:6" x14ac:dyDescent="0.25">
      <c r="A38" s="2" t="s">
        <v>51</v>
      </c>
      <c r="B38" s="2" t="str">
        <f>B6</f>
        <v>Chapa 1/2" Mancal do Suporte Central da Carreta Pino 50mm</v>
      </c>
      <c r="D38" s="26"/>
      <c r="E38" s="26"/>
      <c r="F38" s="26"/>
    </row>
    <row r="39" spans="1:6" x14ac:dyDescent="0.25">
      <c r="A39" s="2" t="s">
        <v>52</v>
      </c>
      <c r="B39" s="1">
        <v>100</v>
      </c>
      <c r="D39" s="26"/>
      <c r="E39" s="26"/>
      <c r="F39" s="26"/>
    </row>
    <row r="40" spans="1:6" x14ac:dyDescent="0.25">
      <c r="A40" s="2" t="s">
        <v>53</v>
      </c>
      <c r="B40" s="1">
        <v>2</v>
      </c>
      <c r="D40" s="26"/>
      <c r="E40" s="26"/>
      <c r="F40" s="26"/>
    </row>
    <row r="41" spans="1:6" x14ac:dyDescent="0.25">
      <c r="A41" s="1" t="s">
        <v>54</v>
      </c>
      <c r="B41" s="1" t="s">
        <v>55</v>
      </c>
      <c r="C41" s="1" t="s">
        <v>56</v>
      </c>
      <c r="D41" s="1" t="s">
        <v>57</v>
      </c>
      <c r="E41" s="1" t="s">
        <v>58</v>
      </c>
    </row>
    <row r="42" spans="1:6" x14ac:dyDescent="0.25">
      <c r="A42" s="1" t="s">
        <v>59</v>
      </c>
      <c r="B42" s="1">
        <v>300</v>
      </c>
      <c r="C42" s="30">
        <v>9.8791666666666667E-2</v>
      </c>
      <c r="D42" s="1">
        <v>144</v>
      </c>
      <c r="E42" s="30">
        <v>4.742</v>
      </c>
    </row>
    <row r="43" spans="1:6" x14ac:dyDescent="0.25">
      <c r="A43" s="1" t="s">
        <v>73</v>
      </c>
      <c r="B43" s="1">
        <v>1800</v>
      </c>
      <c r="C43" s="30">
        <v>0.20829999999999999</v>
      </c>
      <c r="D43" s="1">
        <v>35</v>
      </c>
      <c r="E43" s="30">
        <v>0.40502777777777776</v>
      </c>
    </row>
    <row r="44" spans="1:6" x14ac:dyDescent="0.25">
      <c r="A44" s="41" t="s">
        <v>60</v>
      </c>
      <c r="B44" s="42"/>
      <c r="C44" s="42"/>
      <c r="D44" s="43"/>
      <c r="E44" s="40">
        <v>5.45</v>
      </c>
    </row>
    <row r="46" spans="1:6" x14ac:dyDescent="0.25">
      <c r="A46" s="2" t="s">
        <v>50</v>
      </c>
      <c r="B46" s="2" t="str">
        <f>A7</f>
        <v>TP 01007D</v>
      </c>
      <c r="C46" s="24"/>
      <c r="D46" s="33"/>
      <c r="E46" s="33"/>
      <c r="F46" s="33"/>
    </row>
    <row r="47" spans="1:6" x14ac:dyDescent="0.25">
      <c r="A47" s="2" t="s">
        <v>51</v>
      </c>
      <c r="B47" s="2" t="str">
        <f>B7</f>
        <v>Cantoneira 115 x 60 x 1/4"</v>
      </c>
      <c r="D47" s="26"/>
      <c r="E47" s="26"/>
      <c r="F47" s="26"/>
    </row>
    <row r="48" spans="1:6" x14ac:dyDescent="0.25">
      <c r="A48" s="2" t="s">
        <v>52</v>
      </c>
      <c r="B48" s="1">
        <v>100</v>
      </c>
      <c r="D48" s="26"/>
      <c r="E48" s="26"/>
      <c r="F48" s="26"/>
    </row>
    <row r="49" spans="1:6" x14ac:dyDescent="0.25">
      <c r="A49" s="2" t="s">
        <v>53</v>
      </c>
      <c r="B49" s="1">
        <f>C7</f>
        <v>1</v>
      </c>
      <c r="D49" s="26"/>
      <c r="E49" s="26"/>
      <c r="F49" s="26"/>
    </row>
    <row r="50" spans="1:6" x14ac:dyDescent="0.25">
      <c r="A50" s="1" t="s">
        <v>54</v>
      </c>
      <c r="B50" s="1" t="s">
        <v>55</v>
      </c>
      <c r="C50" s="1" t="s">
        <v>56</v>
      </c>
      <c r="D50" s="1" t="s">
        <v>57</v>
      </c>
      <c r="E50" s="1" t="s">
        <v>58</v>
      </c>
    </row>
    <row r="51" spans="1:6" x14ac:dyDescent="0.25">
      <c r="A51" s="2" t="s">
        <v>63</v>
      </c>
      <c r="B51" s="1">
        <v>300</v>
      </c>
      <c r="C51" s="29">
        <f>(B51*'hora maquina'!C4)/B48</f>
        <v>4.6025000000000003E-2</v>
      </c>
      <c r="D51" s="1">
        <v>12</v>
      </c>
      <c r="E51" s="29">
        <f>D51*'hora maquina'!C4</f>
        <v>0.18409999999999999</v>
      </c>
    </row>
    <row r="52" spans="1:6" x14ac:dyDescent="0.25">
      <c r="A52" s="2" t="s">
        <v>66</v>
      </c>
      <c r="B52" s="1">
        <v>300</v>
      </c>
      <c r="C52" s="29">
        <f>(B52*'hora maquina'!C4)/B48</f>
        <v>4.6025000000000003E-2</v>
      </c>
      <c r="D52" s="1">
        <v>12</v>
      </c>
      <c r="E52" s="29">
        <f>D52*'hora maquina'!C4</f>
        <v>0.18409999999999999</v>
      </c>
    </row>
    <row r="53" spans="1:6" x14ac:dyDescent="0.25">
      <c r="A53" s="2" t="s">
        <v>62</v>
      </c>
      <c r="B53" s="1">
        <v>300</v>
      </c>
      <c r="C53" s="29">
        <f>(B53*'hora maquina'!C3)/B48</f>
        <v>9.2208333333333337E-2</v>
      </c>
      <c r="D53" s="1">
        <v>25</v>
      </c>
      <c r="E53" s="29">
        <f>D53*'hora maquina'!C3</f>
        <v>0.76840277777777788</v>
      </c>
    </row>
    <row r="54" spans="1:6" x14ac:dyDescent="0.25">
      <c r="A54" s="41" t="s">
        <v>60</v>
      </c>
      <c r="B54" s="42"/>
      <c r="C54" s="42"/>
      <c r="D54" s="43"/>
      <c r="E54" s="40">
        <f>(SUM(C51:C53)+SUM(E51:E53))</f>
        <v>1.3208611111111113</v>
      </c>
    </row>
    <row r="56" spans="1:6" x14ac:dyDescent="0.25">
      <c r="A56" s="2" t="s">
        <v>50</v>
      </c>
      <c r="B56" s="2" t="str">
        <f>A8</f>
        <v>TP 01007E</v>
      </c>
      <c r="C56" s="24"/>
      <c r="D56" s="33"/>
      <c r="E56" s="33"/>
      <c r="F56" s="33"/>
    </row>
    <row r="57" spans="1:6" x14ac:dyDescent="0.25">
      <c r="A57" s="2" t="s">
        <v>51</v>
      </c>
      <c r="B57" s="2" t="str">
        <f>B8</f>
        <v>Reforço 1/4" do Mancal Ferradura</v>
      </c>
      <c r="D57" s="26"/>
      <c r="E57" s="26"/>
      <c r="F57" s="26"/>
    </row>
    <row r="58" spans="1:6" x14ac:dyDescent="0.25">
      <c r="A58" s="2" t="s">
        <v>52</v>
      </c>
      <c r="B58" s="1">
        <v>200</v>
      </c>
      <c r="D58" s="26"/>
      <c r="E58" s="26"/>
      <c r="F58" s="26"/>
    </row>
    <row r="59" spans="1:6" x14ac:dyDescent="0.25">
      <c r="A59" s="2" t="s">
        <v>53</v>
      </c>
      <c r="B59" s="1">
        <v>2</v>
      </c>
      <c r="D59" s="26"/>
      <c r="E59" s="26"/>
      <c r="F59" s="26"/>
    </row>
    <row r="60" spans="1:6" x14ac:dyDescent="0.25">
      <c r="A60" s="1" t="s">
        <v>54</v>
      </c>
      <c r="B60" s="1" t="s">
        <v>55</v>
      </c>
      <c r="C60" s="1" t="s">
        <v>56</v>
      </c>
      <c r="D60" s="1" t="s">
        <v>57</v>
      </c>
      <c r="E60" s="1" t="s">
        <v>58</v>
      </c>
    </row>
    <row r="61" spans="1:6" x14ac:dyDescent="0.25">
      <c r="A61" s="2" t="s">
        <v>59</v>
      </c>
      <c r="B61" s="1">
        <v>300</v>
      </c>
      <c r="C61" s="29">
        <f>(B61*'hora maquina'!C2)/B58</f>
        <v>4.9395833333333333E-2</v>
      </c>
      <c r="D61" s="1">
        <v>20</v>
      </c>
      <c r="E61" s="29">
        <f>D61*'hora maquina'!C2</f>
        <v>0.65861111111111104</v>
      </c>
    </row>
    <row r="62" spans="1:6" x14ac:dyDescent="0.25">
      <c r="A62" s="2" t="s">
        <v>62</v>
      </c>
      <c r="B62" s="1">
        <v>300</v>
      </c>
      <c r="C62" s="29">
        <f>(B62*'hora maquina'!C3)/B58</f>
        <v>4.6104166666666668E-2</v>
      </c>
      <c r="D62" s="1">
        <v>25</v>
      </c>
      <c r="E62" s="29">
        <f>D62*'hora maquina'!C3</f>
        <v>0.76840277777777788</v>
      </c>
    </row>
    <row r="63" spans="1:6" x14ac:dyDescent="0.25">
      <c r="A63" s="41" t="s">
        <v>60</v>
      </c>
      <c r="B63" s="42"/>
      <c r="C63" s="42"/>
      <c r="D63" s="43"/>
      <c r="E63" s="40">
        <f>(C61+E61+E62+C62)*B59</f>
        <v>3.0450277777777779</v>
      </c>
    </row>
    <row r="66" spans="1:6" x14ac:dyDescent="0.25">
      <c r="A66" s="2" t="s">
        <v>50</v>
      </c>
      <c r="B66" s="2" t="str">
        <f>A2</f>
        <v>RN 01007</v>
      </c>
    </row>
    <row r="67" spans="1:6" x14ac:dyDescent="0.25">
      <c r="A67" s="2" t="s">
        <v>51</v>
      </c>
      <c r="B67" s="2" t="str">
        <f>B2</f>
        <v>SUPORTE CENTRAL SR 2000 PINO 50MM</v>
      </c>
      <c r="C67" s="35"/>
      <c r="D67" s="33"/>
      <c r="E67" s="33"/>
      <c r="F67" s="33"/>
    </row>
    <row r="68" spans="1:6" x14ac:dyDescent="0.25">
      <c r="A68" s="2" t="s">
        <v>52</v>
      </c>
      <c r="B68" s="1">
        <v>100</v>
      </c>
      <c r="C68" s="35"/>
      <c r="D68" s="36"/>
      <c r="E68" s="36"/>
      <c r="F68" s="36"/>
    </row>
    <row r="69" spans="1:6" x14ac:dyDescent="0.25">
      <c r="A69" s="2" t="s">
        <v>53</v>
      </c>
      <c r="B69" s="1">
        <v>1</v>
      </c>
      <c r="C69" s="35"/>
      <c r="D69" s="37"/>
      <c r="E69" s="37"/>
      <c r="F69" s="37"/>
    </row>
    <row r="70" spans="1:6" x14ac:dyDescent="0.25">
      <c r="A70" s="1" t="s">
        <v>54</v>
      </c>
      <c r="B70" s="1" t="s">
        <v>55</v>
      </c>
      <c r="C70" s="1" t="s">
        <v>56</v>
      </c>
      <c r="D70" s="1" t="s">
        <v>57</v>
      </c>
      <c r="E70" s="1" t="s">
        <v>58</v>
      </c>
    </row>
    <row r="71" spans="1:6" x14ac:dyDescent="0.25">
      <c r="A71" s="2" t="s">
        <v>65</v>
      </c>
      <c r="B71" s="1">
        <v>300</v>
      </c>
      <c r="C71" s="28">
        <f>(B71*[1]DADOS!C5)/B68</f>
        <v>3.0908333333333336E-2</v>
      </c>
      <c r="D71" s="1">
        <v>300</v>
      </c>
      <c r="E71" s="28">
        <f>D71*[1]DADOS!C5</f>
        <v>3.0908333333333338</v>
      </c>
    </row>
    <row r="72" spans="1:6" x14ac:dyDescent="0.25">
      <c r="A72" s="2" t="s">
        <v>64</v>
      </c>
      <c r="B72" s="1">
        <v>300</v>
      </c>
      <c r="C72" s="28">
        <f>(B72*[1]DADOS!C5)/B68</f>
        <v>3.0908333333333336E-2</v>
      </c>
      <c r="D72" s="1">
        <v>600</v>
      </c>
      <c r="E72" s="28">
        <f>D72*[1]DADOS!C5</f>
        <v>6.1816666666666675</v>
      </c>
    </row>
    <row r="73" spans="1:6" x14ac:dyDescent="0.25">
      <c r="A73" s="2" t="s">
        <v>20</v>
      </c>
      <c r="B73" s="1">
        <v>300</v>
      </c>
      <c r="C73" s="30">
        <f>(B73*[1]DADOS!C8)/B68</f>
        <v>2.1491666666666669E-2</v>
      </c>
      <c r="D73" s="1">
        <v>120</v>
      </c>
      <c r="E73" s="28">
        <f>D73*[1]DADOS!C8</f>
        <v>0.85966666666666669</v>
      </c>
    </row>
    <row r="74" spans="1:6" x14ac:dyDescent="0.25">
      <c r="A74" s="2" t="s">
        <v>22</v>
      </c>
      <c r="B74" s="1">
        <v>300</v>
      </c>
      <c r="C74" s="28">
        <f>(B74*[1]DADOS!C9)/B68</f>
        <v>5.2927918320105821E-2</v>
      </c>
      <c r="D74" s="1">
        <v>120</v>
      </c>
      <c r="E74" s="28">
        <f>D74*[1]DADOS!C9</f>
        <v>2.1171167328042326</v>
      </c>
    </row>
    <row r="75" spans="1:6" x14ac:dyDescent="0.25">
      <c r="A75" s="39" t="s">
        <v>60</v>
      </c>
      <c r="B75" s="39"/>
      <c r="C75" s="39"/>
      <c r="D75" s="39"/>
      <c r="E75" s="40">
        <f>(SUM(C71:C74)+SUM((E71:E74)))*B69</f>
        <v>12.385519651124341</v>
      </c>
    </row>
  </sheetData>
  <mergeCells count="16">
    <mergeCell ref="D68:F68"/>
    <mergeCell ref="D69:F69"/>
    <mergeCell ref="A75:D75"/>
    <mergeCell ref="D46:F46"/>
    <mergeCell ref="A54:D54"/>
    <mergeCell ref="D56:F56"/>
    <mergeCell ref="A63:D63"/>
    <mergeCell ref="D67:F67"/>
    <mergeCell ref="A26:D26"/>
    <mergeCell ref="D28:F28"/>
    <mergeCell ref="A35:D35"/>
    <mergeCell ref="D37:F37"/>
    <mergeCell ref="A44:D44"/>
    <mergeCell ref="D10:F10"/>
    <mergeCell ref="A18:D18"/>
    <mergeCell ref="D20:F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7712-5BD9-4E93-9E74-6CEE49257021}">
  <dimension ref="A1:H24"/>
  <sheetViews>
    <sheetView workbookViewId="0">
      <selection sqref="A1:XFD1048576"/>
    </sheetView>
  </sheetViews>
  <sheetFormatPr defaultRowHeight="15" x14ac:dyDescent="0.25"/>
  <cols>
    <col min="1" max="1" width="39.5703125" bestFit="1" customWidth="1"/>
    <col min="2" max="2" width="22.7109375" bestFit="1" customWidth="1"/>
    <col min="3" max="3" width="11" bestFit="1" customWidth="1"/>
    <col min="4" max="4" width="9.5703125" bestFit="1" customWidth="1"/>
    <col min="7" max="7" width="19.28515625" bestFit="1" customWidth="1"/>
    <col min="8" max="8" width="15" bestFit="1" customWidth="1"/>
  </cols>
  <sheetData>
    <row r="1" spans="1:8" x14ac:dyDescent="0.25">
      <c r="A1" s="3" t="s">
        <v>3</v>
      </c>
      <c r="B1" s="4" t="s">
        <v>4</v>
      </c>
      <c r="C1" s="4" t="s">
        <v>5</v>
      </c>
      <c r="G1" s="3" t="s">
        <v>6</v>
      </c>
      <c r="H1" s="4" t="s">
        <v>7</v>
      </c>
    </row>
    <row r="2" spans="1:8" x14ac:dyDescent="0.25">
      <c r="A2" s="5" t="s">
        <v>8</v>
      </c>
      <c r="B2" s="6">
        <v>118.55</v>
      </c>
      <c r="C2" s="7">
        <v>3.2930555555555553E-2</v>
      </c>
      <c r="G2" s="8" t="s">
        <v>9</v>
      </c>
      <c r="H2" s="8">
        <v>84.78</v>
      </c>
    </row>
    <row r="3" spans="1:8" x14ac:dyDescent="0.25">
      <c r="A3" s="9" t="s">
        <v>10</v>
      </c>
      <c r="B3" s="10">
        <v>110.65</v>
      </c>
      <c r="C3" s="11">
        <v>3.0736111111111113E-2</v>
      </c>
      <c r="G3" s="8" t="s">
        <v>11</v>
      </c>
      <c r="H3" s="8">
        <v>134.24</v>
      </c>
    </row>
    <row r="4" spans="1:8" x14ac:dyDescent="0.25">
      <c r="A4" s="5" t="s">
        <v>12</v>
      </c>
      <c r="B4" s="6">
        <v>55.23</v>
      </c>
      <c r="C4" s="7">
        <v>1.5341666666666667E-2</v>
      </c>
      <c r="G4" s="8" t="s">
        <v>13</v>
      </c>
      <c r="H4" s="8">
        <v>179.45</v>
      </c>
    </row>
    <row r="5" spans="1:8" x14ac:dyDescent="0.25">
      <c r="A5" s="9" t="s">
        <v>14</v>
      </c>
      <c r="B5" s="10">
        <v>37.090000000000003</v>
      </c>
      <c r="C5" s="12">
        <v>1.0302777777777779E-2</v>
      </c>
      <c r="G5" s="8" t="s">
        <v>15</v>
      </c>
      <c r="H5" s="8">
        <v>226.08</v>
      </c>
    </row>
    <row r="6" spans="1:8" x14ac:dyDescent="0.25">
      <c r="A6" s="5" t="s">
        <v>16</v>
      </c>
      <c r="B6" s="6">
        <v>41.66</v>
      </c>
      <c r="C6" s="7">
        <v>1.1572222222222222E-2</v>
      </c>
      <c r="G6" s="8" t="s">
        <v>17</v>
      </c>
      <c r="H6" s="8">
        <v>268.47000000000003</v>
      </c>
    </row>
    <row r="7" spans="1:8" x14ac:dyDescent="0.25">
      <c r="A7" s="9" t="s">
        <v>18</v>
      </c>
      <c r="B7" s="12">
        <v>35.71</v>
      </c>
      <c r="C7" s="12">
        <v>9.9194444444444443E-3</v>
      </c>
      <c r="G7" s="8" t="s">
        <v>19</v>
      </c>
      <c r="H7" s="8">
        <v>358.9</v>
      </c>
    </row>
    <row r="8" spans="1:8" x14ac:dyDescent="0.25">
      <c r="A8" s="5" t="s">
        <v>20</v>
      </c>
      <c r="B8" s="6">
        <v>25.79</v>
      </c>
      <c r="C8" s="7">
        <v>7.1638888888888889E-3</v>
      </c>
      <c r="G8" s="8" t="s">
        <v>21</v>
      </c>
      <c r="H8" s="8">
        <v>448.77</v>
      </c>
    </row>
    <row r="9" spans="1:8" x14ac:dyDescent="0.25">
      <c r="A9" s="9" t="s">
        <v>22</v>
      </c>
      <c r="B9" s="10">
        <v>63.513501984126989</v>
      </c>
      <c r="C9" s="11">
        <v>1.7642639440035274E-2</v>
      </c>
    </row>
    <row r="10" spans="1:8" x14ac:dyDescent="0.25">
      <c r="A10" s="5" t="s">
        <v>23</v>
      </c>
      <c r="B10" s="6">
        <v>26.08</v>
      </c>
      <c r="C10" s="7">
        <v>7.244444444444444E-3</v>
      </c>
    </row>
    <row r="11" spans="1:8" x14ac:dyDescent="0.25">
      <c r="A11" s="9" t="s">
        <v>24</v>
      </c>
      <c r="B11" s="10">
        <v>25</v>
      </c>
      <c r="C11" s="11">
        <v>6.9444444444444441E-3</v>
      </c>
    </row>
    <row r="12" spans="1:8" x14ac:dyDescent="0.25">
      <c r="A12" s="13" t="s">
        <v>25</v>
      </c>
      <c r="B12" s="6">
        <v>39.93</v>
      </c>
      <c r="C12" s="7">
        <v>1.1091666666666666E-2</v>
      </c>
    </row>
    <row r="14" spans="1:8" x14ac:dyDescent="0.25">
      <c r="A14" s="14" t="s">
        <v>26</v>
      </c>
      <c r="B14" s="15">
        <v>4.7</v>
      </c>
    </row>
    <row r="17" spans="1:4" x14ac:dyDescent="0.25">
      <c r="C17" s="8" t="s">
        <v>27</v>
      </c>
      <c r="D17" s="8" t="s">
        <v>28</v>
      </c>
    </row>
    <row r="18" spans="1:4" x14ac:dyDescent="0.25">
      <c r="A18" s="16" t="s">
        <v>29</v>
      </c>
      <c r="B18" s="17">
        <v>350.14</v>
      </c>
      <c r="C18" s="18">
        <v>3.2122935779816513</v>
      </c>
      <c r="D18" s="8" t="s">
        <v>30</v>
      </c>
    </row>
    <row r="19" spans="1:4" x14ac:dyDescent="0.25">
      <c r="A19" s="16" t="s">
        <v>31</v>
      </c>
      <c r="B19" s="17">
        <v>1130</v>
      </c>
      <c r="C19" s="18">
        <v>10</v>
      </c>
      <c r="D19" s="8"/>
    </row>
    <row r="20" spans="1:4" x14ac:dyDescent="0.25">
      <c r="A20" s="16" t="s">
        <v>32</v>
      </c>
      <c r="B20" s="17">
        <v>813.35</v>
      </c>
      <c r="C20" s="8" t="s">
        <v>30</v>
      </c>
      <c r="D20" s="18">
        <v>15.346226415094341</v>
      </c>
    </row>
    <row r="22" spans="1:4" x14ac:dyDescent="0.25">
      <c r="A22" s="34" t="s">
        <v>33</v>
      </c>
      <c r="B22" s="34"/>
    </row>
    <row r="23" spans="1:4" x14ac:dyDescent="0.25">
      <c r="A23" s="19" t="s">
        <v>34</v>
      </c>
      <c r="B23" s="20">
        <v>300</v>
      </c>
    </row>
    <row r="24" spans="1:4" x14ac:dyDescent="0.25">
      <c r="A24" s="19" t="s">
        <v>35</v>
      </c>
      <c r="B24" s="20">
        <v>5.8</v>
      </c>
    </row>
  </sheetData>
  <mergeCells count="1">
    <mergeCell ref="A22:B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hora maquina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2026-08-15T12:09:00Z</dcterms:created>
  <dcterms:modified xsi:type="dcterms:W3CDTF">2026-09-01T21:01:27Z</dcterms:modified>
</cp:coreProperties>
</file>