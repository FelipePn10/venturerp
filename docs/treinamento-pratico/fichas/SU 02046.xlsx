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elipe Panosso\"/>
    </mc:Choice>
  </mc:AlternateContent>
  <xr:revisionPtr revIDLastSave="0" documentId="13_ncr:1_{CFB0694D-2255-4382-8732-B4A9544A7F27}" xr6:coauthVersionLast="47" xr6:coauthVersionMax="47" xr10:uidLastSave="{00000000-0000-0000-0000-000000000000}"/>
  <bookViews>
    <workbookView xWindow="-120" yWindow="-120" windowWidth="20730" windowHeight="11040" xr2:uid="{853B3B91-E3D9-4404-9AD3-4C0447968919}"/>
  </bookViews>
  <sheets>
    <sheet name="Planilha1" sheetId="1" r:id="rId1"/>
    <sheet name="hora maquin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3" i="1"/>
  <c r="E33" i="1" l="1"/>
  <c r="E32" i="1"/>
  <c r="E31" i="1"/>
  <c r="E30" i="1"/>
  <c r="C33" i="1"/>
  <c r="C32" i="1"/>
  <c r="C31" i="1"/>
  <c r="C30" i="1"/>
  <c r="E21" i="1"/>
  <c r="E20" i="1"/>
  <c r="E19" i="1"/>
  <c r="C21" i="1"/>
  <c r="C20" i="1"/>
  <c r="C19" i="1"/>
  <c r="E11" i="1"/>
  <c r="C11" i="1"/>
  <c r="E12" i="1" s="1"/>
  <c r="B17" i="1"/>
  <c r="B9" i="1"/>
  <c r="B26" i="1"/>
  <c r="B25" i="1"/>
  <c r="B15" i="1"/>
  <c r="B14" i="1"/>
  <c r="B7" i="1"/>
  <c r="B6" i="1"/>
  <c r="E22" i="1" l="1"/>
  <c r="E34" i="1"/>
</calcChain>
</file>

<file path=xl/sharedStrings.xml><?xml version="1.0" encoding="utf-8"?>
<sst xmlns="http://schemas.openxmlformats.org/spreadsheetml/2006/main" count="87" uniqueCount="64">
  <si>
    <t>DESCRIÇÃO</t>
  </si>
  <si>
    <t>CÓDIGO TRUCKPARTS</t>
  </si>
  <si>
    <t>QTD</t>
  </si>
  <si>
    <t>PESO LÍQUIDO UNITÁRIO</t>
  </si>
  <si>
    <t>SU 02046</t>
  </si>
  <si>
    <t>DESLIZANTE TRASEIRO TRUCK MB</t>
  </si>
  <si>
    <t>TP 02046A</t>
  </si>
  <si>
    <t>TP 02046B</t>
  </si>
  <si>
    <t>LATERAL 3/16" DO DESLIZANTE TRASEIRO TRUCK MB</t>
  </si>
  <si>
    <t>BASE 195 X 83 X 3/8" DESLIZANTE TRASEIRO TRUCK MB</t>
  </si>
  <si>
    <t>Código:</t>
  </si>
  <si>
    <t>Descrição:</t>
  </si>
  <si>
    <t>Lote Economico:</t>
  </si>
  <si>
    <t>Quantidade:</t>
  </si>
  <si>
    <t>Processo</t>
  </si>
  <si>
    <t>Tempo de Setup</t>
  </si>
  <si>
    <t>Custo de Setup</t>
  </si>
  <si>
    <t>Tempo de Processo</t>
  </si>
  <si>
    <t>Custo de Processo</t>
  </si>
  <si>
    <t>Cortar no Laser</t>
  </si>
  <si>
    <t>CUSTO TOTAL</t>
  </si>
  <si>
    <t>Cortar na Guilhotina</t>
  </si>
  <si>
    <t>Dobrar na Dobradeira</t>
  </si>
  <si>
    <t>Montagem</t>
  </si>
  <si>
    <t>Soldar na Mig</t>
  </si>
  <si>
    <t>Limpeza</t>
  </si>
  <si>
    <t>Pintura</t>
  </si>
  <si>
    <t>Repicar na Guilhotina</t>
  </si>
  <si>
    <t>MÁQUINA</t>
  </si>
  <si>
    <t>CUSTO HORA MÁQUINA</t>
  </si>
  <si>
    <t>SEGUNDOS</t>
  </si>
  <si>
    <t>CHAPA 1200 X 3000</t>
  </si>
  <si>
    <t>PESO UNITÁRIO</t>
  </si>
  <si>
    <t>Laser Calfran</t>
  </si>
  <si>
    <t>3mm</t>
  </si>
  <si>
    <t>Dobradeira ERMAK 3300</t>
  </si>
  <si>
    <t>3/16"</t>
  </si>
  <si>
    <t>Guilhotina</t>
  </si>
  <si>
    <t>1/4"</t>
  </si>
  <si>
    <t>Maquina de Solda</t>
  </si>
  <si>
    <t>5/16"</t>
  </si>
  <si>
    <t>Prensa</t>
  </si>
  <si>
    <t>3/8"</t>
  </si>
  <si>
    <t>Policorte</t>
  </si>
  <si>
    <t>1/2"</t>
  </si>
  <si>
    <t>5/8"</t>
  </si>
  <si>
    <t>Furadeira</t>
  </si>
  <si>
    <t>Embalagem OPERADOR MÉDIO</t>
  </si>
  <si>
    <t>Serra Fita</t>
  </si>
  <si>
    <t>VALOR DO AÇO (CHAPAS JANDAIA)</t>
  </si>
  <si>
    <t>50mm</t>
  </si>
  <si>
    <t>110mm</t>
  </si>
  <si>
    <t>Tubo Bucha Interna Pino 50mm</t>
  </si>
  <si>
    <t>-</t>
  </si>
  <si>
    <t>Tubo Bucha Interna Pino 60,4mm / 61,5mm</t>
  </si>
  <si>
    <t>Tubo Bucha Externa</t>
  </si>
  <si>
    <t>Tabela de Cementação</t>
  </si>
  <si>
    <t>Até 50kg</t>
  </si>
  <si>
    <t>Acima de 50kg</t>
  </si>
  <si>
    <t>MATÉRIA PRIMA</t>
  </si>
  <si>
    <t>CHAPA DE AÇO 3/16"</t>
  </si>
  <si>
    <t>CHAPA DE AÇO 3/8"</t>
  </si>
  <si>
    <t>PESO BRUTO</t>
  </si>
  <si>
    <t>% DE PERCA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</si>
</sst>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0" fontId="0" fillId="3" borderId="2" xfId="0" applyFill="1" applyBorder="1"/>
    <xf numFmtId="44" fontId="0" fillId="3" borderId="1" xfId="1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44" fontId="0" fillId="3" borderId="1" xfId="0" applyNumberFormat="1" applyFill="1" applyBorder="1"/>
    <xf numFmtId="43" fontId="3" fillId="5" borderId="1" xfId="4" applyFont="1" applyFill="1" applyBorder="1" applyAlignment="1">
      <alignment horizontal="center"/>
    </xf>
    <xf numFmtId="43" fontId="0" fillId="3" borderId="1" xfId="4" applyFont="1" applyFill="1" applyBorder="1" applyAlignment="1">
      <alignment horizontal="center"/>
    </xf>
    <xf numFmtId="44" fontId="0" fillId="3" borderId="1" xfId="5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4" borderId="1" xfId="4" applyFont="1" applyFill="1" applyBorder="1" applyAlignment="1">
      <alignment horizontal="center"/>
    </xf>
    <xf numFmtId="44" fontId="0" fillId="4" borderId="1" xfId="5" applyFont="1" applyFill="1" applyBorder="1" applyAlignment="1">
      <alignment horizontal="center"/>
    </xf>
    <xf numFmtId="44" fontId="0" fillId="4" borderId="1" xfId="0" applyNumberFormat="1" applyFill="1" applyBorder="1"/>
    <xf numFmtId="44" fontId="0" fillId="4" borderId="1" xfId="5" applyFont="1" applyFill="1" applyBorder="1"/>
    <xf numFmtId="43" fontId="0" fillId="3" borderId="2" xfId="4" applyFont="1" applyFill="1" applyBorder="1" applyAlignment="1">
      <alignment horizontal="center"/>
    </xf>
    <xf numFmtId="43" fontId="3" fillId="5" borderId="5" xfId="4" applyFont="1" applyFill="1" applyBorder="1"/>
    <xf numFmtId="44" fontId="0" fillId="3" borderId="1" xfId="5" applyFont="1" applyFill="1" applyBorder="1"/>
    <xf numFmtId="0" fontId="3" fillId="5" borderId="1" xfId="0" applyFont="1" applyFill="1" applyBorder="1"/>
    <xf numFmtId="44" fontId="0" fillId="0" borderId="2" xfId="5" applyFont="1" applyBorder="1"/>
    <xf numFmtId="44" fontId="0" fillId="0" borderId="1" xfId="0" applyNumberFormat="1" applyBorder="1" applyAlignment="1">
      <alignment horizontal="center"/>
    </xf>
    <xf numFmtId="0" fontId="0" fillId="0" borderId="1" xfId="0" applyBorder="1"/>
    <xf numFmtId="44" fontId="0" fillId="0" borderId="1" xfId="5" applyFont="1" applyBorder="1"/>
    <xf numFmtId="44" fontId="1" fillId="6" borderId="1" xfId="0" applyNumberFormat="1" applyFont="1" applyFill="1" applyBorder="1"/>
    <xf numFmtId="2" fontId="0" fillId="3" borderId="0" xfId="0" applyNumberFormat="1" applyFill="1"/>
    <xf numFmtId="9" fontId="0" fillId="3" borderId="0" xfId="2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44" fontId="3" fillId="5" borderId="1" xfId="5" applyFont="1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  <cellStyles count="6">
    <cellStyle name="Moeda" xfId="1" builtinId="4"/>
    <cellStyle name="Moeda 2" xfId="5" xr:uid="{3FBDAD01-E703-45C4-808C-7E134F9D9140}"/>
    <cellStyle name="Moeda 3" xfId="3" xr:uid="{0F107B6A-4A01-49D1-B26B-849A01A00ECF}"/>
    <cellStyle name="Normal" xfId="0" builtinId="0"/>
    <cellStyle name="Porcentagem" xfId="2" builtinId="5"/>
    <cellStyle name="Vírgula 2" xfId="4" xr:uid="{24566BF7-5128-4E86-A9D0-8E064D447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44823</xdr:colOff>
      <xdr:row>8</xdr:row>
      <xdr:rowOff>123265</xdr:rowOff>
    </xdr:from>
    <xdr:to>
      <xdr:col>12</xdr:col>
      <xdr:colOff>409532</xdr:colOff>
      <xdr:row>24</xdr:row>
      <xdr:rowOff>160224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4F9516-C2C4-6BCB-2F10-3BBA50652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4882" y="1647265"/>
          <a:ext cx="3625621" cy="3084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FD75-303F-46C5-A741-CCC79A01F8E3}">
  <dimension ref="A1:G34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21.85546875" style="3" bestFit="1" customWidth="1"/>
    <col min="2" max="2" width="49.7109375" style="3" bestFit="1" customWidth="1"/>
    <col min="3" max="3" width="15" style="4" bestFit="1" customWidth="1"/>
    <col min="4" max="4" width="19.140625" style="4" bestFit="1" customWidth="1"/>
    <col min="5" max="6" width="23.28515625" style="4" bestFit="1" customWidth="1"/>
    <col min="7" max="7" width="12.140625" style="4" bestFit="1" customWidth="1"/>
    <col min="8" max="8" width="12.5703125" style="4" customWidth="1"/>
    <col min="9" max="16384" width="9.140625" style="4"/>
  </cols>
  <sheetData>
    <row r="1" spans="1:7" x14ac:dyDescent="0.25">
      <c r="A1" s="1" t="s">
        <v>1</v>
      </c>
      <c r="B1" s="2" t="s">
        <v>0</v>
      </c>
      <c r="C1" s="2" t="s">
        <v>2</v>
      </c>
      <c r="D1" s="2" t="s">
        <v>59</v>
      </c>
      <c r="E1" s="2" t="s">
        <v>3</v>
      </c>
      <c r="F1" s="2" t="s">
        <v>62</v>
      </c>
      <c r="G1" s="2" t="s">
        <v>63</v>
      </c>
    </row>
    <row r="2" spans="1:7" x14ac:dyDescent="0.25">
      <c r="A2" s="1" t="s">
        <v>4</v>
      </c>
      <c r="B2" s="6" t="s">
        <v>5</v>
      </c>
      <c r="C2" s="5"/>
      <c r="D2" s="5"/>
      <c r="E2" s="5"/>
      <c r="F2" s="5"/>
      <c r="G2" s="2"/>
    </row>
    <row r="3" spans="1:7" x14ac:dyDescent="0.25">
      <c r="A3" s="1" t="s">
        <v>6</v>
      </c>
      <c r="B3" s="5" t="s">
        <v>8</v>
      </c>
      <c r="C3" s="2">
        <v>2</v>
      </c>
      <c r="D3" s="2" t="s">
        <v>60</v>
      </c>
      <c r="E3" s="2">
        <v>0.31</v>
      </c>
      <c r="F3" s="40">
        <v>0.57999999999999996</v>
      </c>
      <c r="G3" s="39">
        <f>(F3/E3)-1</f>
        <v>0.87096774193548376</v>
      </c>
    </row>
    <row r="4" spans="1:7" x14ac:dyDescent="0.25">
      <c r="A4" s="1" t="s">
        <v>7</v>
      </c>
      <c r="B4" s="5" t="s">
        <v>9</v>
      </c>
      <c r="C4" s="2">
        <v>1</v>
      </c>
      <c r="D4" s="2" t="s">
        <v>61</v>
      </c>
      <c r="E4" s="2">
        <v>1.2</v>
      </c>
      <c r="F4" s="40">
        <v>1.38</v>
      </c>
      <c r="G4" s="39">
        <f>(F4/E4)-1</f>
        <v>0.14999999999999991</v>
      </c>
    </row>
    <row r="5" spans="1:7" x14ac:dyDescent="0.25">
      <c r="G5" s="30"/>
    </row>
    <row r="6" spans="1:7" x14ac:dyDescent="0.25">
      <c r="A6" s="5" t="s">
        <v>10</v>
      </c>
      <c r="B6" s="5" t="str">
        <f>A3</f>
        <v>TP 02046A</v>
      </c>
      <c r="C6" s="3"/>
      <c r="D6" s="31"/>
      <c r="E6" s="31"/>
      <c r="F6" s="31"/>
      <c r="G6" s="30"/>
    </row>
    <row r="7" spans="1:7" x14ac:dyDescent="0.25">
      <c r="A7" s="5" t="s">
        <v>11</v>
      </c>
      <c r="B7" s="5" t="str">
        <f>B3</f>
        <v>LATERAL 3/16" DO DESLIZANTE TRASEIRO TRUCK MB</v>
      </c>
      <c r="D7" s="10"/>
      <c r="E7" s="10"/>
      <c r="F7" s="10"/>
    </row>
    <row r="8" spans="1:7" x14ac:dyDescent="0.25">
      <c r="A8" s="5" t="s">
        <v>12</v>
      </c>
      <c r="B8" s="2">
        <v>200</v>
      </c>
      <c r="D8" s="10"/>
      <c r="E8" s="10"/>
      <c r="F8" s="10"/>
    </row>
    <row r="9" spans="1:7" x14ac:dyDescent="0.25">
      <c r="A9" s="5" t="s">
        <v>13</v>
      </c>
      <c r="B9" s="2">
        <f>C3</f>
        <v>2</v>
      </c>
      <c r="D9" s="10"/>
      <c r="E9" s="10"/>
      <c r="F9" s="10"/>
    </row>
    <row r="10" spans="1:7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</row>
    <row r="11" spans="1:7" x14ac:dyDescent="0.25">
      <c r="A11" s="5" t="s">
        <v>19</v>
      </c>
      <c r="B11" s="2">
        <v>300</v>
      </c>
      <c r="C11" s="7">
        <f>(B11*'hora maquina'!C2)/B8</f>
        <v>4.9395833333333333E-2</v>
      </c>
      <c r="D11" s="2">
        <v>22</v>
      </c>
      <c r="E11" s="7">
        <f>D11*'hora maquina'!C2</f>
        <v>0.72447222222222218</v>
      </c>
    </row>
    <row r="12" spans="1:7" x14ac:dyDescent="0.25">
      <c r="A12" s="35" t="s">
        <v>20</v>
      </c>
      <c r="B12" s="36"/>
      <c r="C12" s="36"/>
      <c r="D12" s="37"/>
      <c r="E12" s="29">
        <f>(C11+E11)*B9</f>
        <v>1.547736111111111</v>
      </c>
    </row>
    <row r="13" spans="1:7" x14ac:dyDescent="0.25">
      <c r="A13" s="4"/>
      <c r="B13" s="4"/>
    </row>
    <row r="14" spans="1:7" x14ac:dyDescent="0.25">
      <c r="A14" s="5" t="s">
        <v>10</v>
      </c>
      <c r="B14" s="5" t="str">
        <f>A4</f>
        <v>TP 02046B</v>
      </c>
      <c r="C14" s="3"/>
      <c r="D14" s="31"/>
      <c r="E14" s="31"/>
      <c r="F14" s="31"/>
    </row>
    <row r="15" spans="1:7" x14ac:dyDescent="0.25">
      <c r="A15" s="5" t="s">
        <v>11</v>
      </c>
      <c r="B15" s="5" t="str">
        <f>B4</f>
        <v>BASE 195 X 83 X 3/8" DESLIZANTE TRASEIRO TRUCK MB</v>
      </c>
      <c r="D15" s="10"/>
      <c r="E15" s="10"/>
      <c r="F15" s="10"/>
    </row>
    <row r="16" spans="1:7" x14ac:dyDescent="0.25">
      <c r="A16" s="5" t="s">
        <v>12</v>
      </c>
      <c r="B16" s="2">
        <v>100</v>
      </c>
      <c r="D16" s="10"/>
      <c r="E16" s="10"/>
      <c r="F16" s="10"/>
    </row>
    <row r="17" spans="1:6" x14ac:dyDescent="0.25">
      <c r="A17" s="5" t="s">
        <v>13</v>
      </c>
      <c r="B17" s="2">
        <f>C4</f>
        <v>1</v>
      </c>
      <c r="D17" s="10"/>
      <c r="E17" s="10"/>
      <c r="F17" s="10"/>
    </row>
    <row r="18" spans="1:6" x14ac:dyDescent="0.25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18</v>
      </c>
    </row>
    <row r="19" spans="1:6" x14ac:dyDescent="0.25">
      <c r="A19" s="5" t="s">
        <v>21</v>
      </c>
      <c r="B19" s="2">
        <v>300</v>
      </c>
      <c r="C19" s="7">
        <f>(B19*'hora maquina'!C4)/B16</f>
        <v>4.6025000000000003E-2</v>
      </c>
      <c r="D19" s="2">
        <v>15</v>
      </c>
      <c r="E19" s="7">
        <f>D19*'hora maquina'!C4</f>
        <v>0.230125</v>
      </c>
    </row>
    <row r="20" spans="1:6" x14ac:dyDescent="0.25">
      <c r="A20" s="8" t="s">
        <v>27</v>
      </c>
      <c r="B20" s="2">
        <v>300</v>
      </c>
      <c r="C20" s="7">
        <f>(B20*'hora maquina'!C4)/B16</f>
        <v>4.6025000000000003E-2</v>
      </c>
      <c r="D20" s="2">
        <v>15</v>
      </c>
      <c r="E20" s="7">
        <f>D20*'hora maquina'!C4</f>
        <v>0.230125</v>
      </c>
    </row>
    <row r="21" spans="1:6" x14ac:dyDescent="0.25">
      <c r="A21" s="8" t="s">
        <v>22</v>
      </c>
      <c r="B21" s="2">
        <v>300</v>
      </c>
      <c r="C21" s="7">
        <f>(B21*'hora maquina'!C3)/B16</f>
        <v>9.2208333333333337E-2</v>
      </c>
      <c r="D21" s="2">
        <v>150</v>
      </c>
      <c r="E21" s="7">
        <f>D21*'hora maquina'!C3</f>
        <v>4.6104166666666666</v>
      </c>
    </row>
    <row r="22" spans="1:6" x14ac:dyDescent="0.25">
      <c r="A22" s="35" t="s">
        <v>20</v>
      </c>
      <c r="B22" s="36"/>
      <c r="C22" s="36"/>
      <c r="D22" s="37"/>
      <c r="E22" s="29">
        <f>(SUM(C19:C21)+SUM(E19:E21))*B17</f>
        <v>5.2549250000000001</v>
      </c>
    </row>
    <row r="23" spans="1:6" x14ac:dyDescent="0.25">
      <c r="A23" s="4"/>
      <c r="B23" s="4"/>
    </row>
    <row r="24" spans="1:6" x14ac:dyDescent="0.25">
      <c r="A24" s="4"/>
      <c r="B24" s="4"/>
    </row>
    <row r="25" spans="1:6" x14ac:dyDescent="0.25">
      <c r="A25" s="5" t="s">
        <v>10</v>
      </c>
      <c r="B25" s="5" t="str">
        <f>A2</f>
        <v>SU 02046</v>
      </c>
    </row>
    <row r="26" spans="1:6" x14ac:dyDescent="0.25">
      <c r="A26" s="5" t="s">
        <v>11</v>
      </c>
      <c r="B26" s="5" t="str">
        <f>B2</f>
        <v>DESLIZANTE TRASEIRO TRUCK MB</v>
      </c>
      <c r="D26" s="31"/>
      <c r="E26" s="31"/>
      <c r="F26" s="31"/>
    </row>
    <row r="27" spans="1:6" x14ac:dyDescent="0.25">
      <c r="A27" s="5" t="s">
        <v>12</v>
      </c>
      <c r="B27" s="2">
        <v>100</v>
      </c>
      <c r="D27" s="32"/>
      <c r="E27" s="32"/>
      <c r="F27" s="32"/>
    </row>
    <row r="28" spans="1:6" x14ac:dyDescent="0.25">
      <c r="A28" s="5" t="s">
        <v>13</v>
      </c>
      <c r="B28" s="2">
        <v>1</v>
      </c>
      <c r="D28" s="33"/>
      <c r="E28" s="33"/>
      <c r="F28" s="33"/>
    </row>
    <row r="29" spans="1:6" x14ac:dyDescent="0.25">
      <c r="A29" s="2" t="s">
        <v>14</v>
      </c>
      <c r="B29" s="2" t="s">
        <v>15</v>
      </c>
      <c r="C29" s="2" t="s">
        <v>16</v>
      </c>
      <c r="D29" s="2" t="s">
        <v>17</v>
      </c>
      <c r="E29" s="2" t="s">
        <v>18</v>
      </c>
    </row>
    <row r="30" spans="1:6" x14ac:dyDescent="0.25">
      <c r="A30" s="5" t="s">
        <v>23</v>
      </c>
      <c r="B30" s="2">
        <v>300</v>
      </c>
      <c r="C30" s="7">
        <f>(B30*'hora maquina'!C5)/B27</f>
        <v>3.0908333333333336E-2</v>
      </c>
      <c r="D30" s="2">
        <v>60</v>
      </c>
      <c r="E30" s="7">
        <f>D30*'hora maquina'!C5</f>
        <v>0.61816666666666675</v>
      </c>
    </row>
    <row r="31" spans="1:6" x14ac:dyDescent="0.25">
      <c r="A31" s="5" t="s">
        <v>24</v>
      </c>
      <c r="B31" s="2">
        <v>300</v>
      </c>
      <c r="C31" s="7">
        <f>(B31*'hora maquina'!C5)/B27</f>
        <v>3.0908333333333336E-2</v>
      </c>
      <c r="D31" s="2">
        <v>180</v>
      </c>
      <c r="E31" s="7">
        <f>D31*'hora maquina'!C5</f>
        <v>1.8545000000000003</v>
      </c>
    </row>
    <row r="32" spans="1:6" x14ac:dyDescent="0.25">
      <c r="A32" s="5" t="s">
        <v>25</v>
      </c>
      <c r="B32" s="2">
        <v>300</v>
      </c>
      <c r="C32" s="9">
        <f>(B32*'hora maquina'!C8)/B27</f>
        <v>2.1491666666666669E-2</v>
      </c>
      <c r="D32" s="2">
        <v>90</v>
      </c>
      <c r="E32" s="7">
        <f>D32*'hora maquina'!C8</f>
        <v>0.64475000000000005</v>
      </c>
    </row>
    <row r="33" spans="1:5" x14ac:dyDescent="0.25">
      <c r="A33" s="5" t="s">
        <v>26</v>
      </c>
      <c r="B33" s="2">
        <v>300</v>
      </c>
      <c r="C33" s="7">
        <f>(B33*'hora maquina'!C9)/B27</f>
        <v>5.2927918320105821E-2</v>
      </c>
      <c r="D33" s="2">
        <v>90</v>
      </c>
      <c r="E33" s="7">
        <f>D33*'hora maquina'!C9</f>
        <v>1.5878375496031747</v>
      </c>
    </row>
    <row r="34" spans="1:5" x14ac:dyDescent="0.25">
      <c r="A34" s="34" t="s">
        <v>20</v>
      </c>
      <c r="B34" s="34"/>
      <c r="C34" s="34"/>
      <c r="D34" s="34"/>
      <c r="E34" s="29">
        <f>(C30+E30+C31+E31+C32+E32+C33+E33)*B28</f>
        <v>4.8414904679232809</v>
      </c>
    </row>
  </sheetData>
  <mergeCells count="8">
    <mergeCell ref="D26:F26"/>
    <mergeCell ref="D27:F27"/>
    <mergeCell ref="D28:F28"/>
    <mergeCell ref="A34:D34"/>
    <mergeCell ref="D6:F6"/>
    <mergeCell ref="A12:D12"/>
    <mergeCell ref="D14:F14"/>
    <mergeCell ref="A22:D2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1599-E900-4D21-AA28-E63D22F0E5AA}">
  <dimension ref="A1:H24"/>
  <sheetViews>
    <sheetView workbookViewId="0">
      <selection activeCell="K5" sqref="K5"/>
    </sheetView>
  </sheetViews>
  <sheetFormatPr defaultRowHeight="15" x14ac:dyDescent="0.25"/>
  <cols>
    <col min="1" max="1" width="39.5703125" bestFit="1" customWidth="1"/>
    <col min="2" max="2" width="22.7109375" bestFit="1" customWidth="1"/>
    <col min="3" max="3" width="11" bestFit="1" customWidth="1"/>
    <col min="4" max="4" width="9.5703125" bestFit="1" customWidth="1"/>
    <col min="7" max="7" width="19.28515625" bestFit="1" customWidth="1"/>
    <col min="8" max="8" width="15" bestFit="1" customWidth="1"/>
  </cols>
  <sheetData>
    <row r="1" spans="1:8" x14ac:dyDescent="0.25">
      <c r="A1" s="13" t="s">
        <v>28</v>
      </c>
      <c r="B1" s="11" t="s">
        <v>29</v>
      </c>
      <c r="C1" s="11" t="s">
        <v>30</v>
      </c>
      <c r="G1" s="13" t="s">
        <v>31</v>
      </c>
      <c r="H1" s="11" t="s">
        <v>32</v>
      </c>
    </row>
    <row r="2" spans="1:8" x14ac:dyDescent="0.25">
      <c r="A2" s="14" t="s">
        <v>33</v>
      </c>
      <c r="B2" s="15">
        <v>118.55</v>
      </c>
      <c r="C2" s="12">
        <v>3.2930555555555553E-2</v>
      </c>
      <c r="G2" s="16" t="s">
        <v>34</v>
      </c>
      <c r="H2" s="16">
        <v>84.78</v>
      </c>
    </row>
    <row r="3" spans="1:8" x14ac:dyDescent="0.25">
      <c r="A3" s="17" t="s">
        <v>35</v>
      </c>
      <c r="B3" s="18">
        <v>110.65</v>
      </c>
      <c r="C3" s="19">
        <v>3.0736111111111113E-2</v>
      </c>
      <c r="G3" s="16" t="s">
        <v>36</v>
      </c>
      <c r="H3" s="16">
        <v>134.24</v>
      </c>
    </row>
    <row r="4" spans="1:8" x14ac:dyDescent="0.25">
      <c r="A4" s="14" t="s">
        <v>37</v>
      </c>
      <c r="B4" s="15">
        <v>55.23</v>
      </c>
      <c r="C4" s="12">
        <v>1.5341666666666667E-2</v>
      </c>
      <c r="G4" s="16" t="s">
        <v>38</v>
      </c>
      <c r="H4" s="16">
        <v>179.45</v>
      </c>
    </row>
    <row r="5" spans="1:8" x14ac:dyDescent="0.25">
      <c r="A5" s="17" t="s">
        <v>39</v>
      </c>
      <c r="B5" s="18">
        <v>37.090000000000003</v>
      </c>
      <c r="C5" s="20">
        <v>1.0302777777777779E-2</v>
      </c>
      <c r="G5" s="16" t="s">
        <v>40</v>
      </c>
      <c r="H5" s="16">
        <v>226.08</v>
      </c>
    </row>
    <row r="6" spans="1:8" x14ac:dyDescent="0.25">
      <c r="A6" s="14" t="s">
        <v>41</v>
      </c>
      <c r="B6" s="15">
        <v>41.66</v>
      </c>
      <c r="C6" s="12">
        <v>1.1572222222222222E-2</v>
      </c>
      <c r="G6" s="16" t="s">
        <v>42</v>
      </c>
      <c r="H6" s="16">
        <v>268.47000000000003</v>
      </c>
    </row>
    <row r="7" spans="1:8" x14ac:dyDescent="0.25">
      <c r="A7" s="17" t="s">
        <v>43</v>
      </c>
      <c r="B7" s="20">
        <v>35.71</v>
      </c>
      <c r="C7" s="20">
        <v>9.9194444444444443E-3</v>
      </c>
      <c r="G7" s="16" t="s">
        <v>44</v>
      </c>
      <c r="H7" s="16">
        <v>358.9</v>
      </c>
    </row>
    <row r="8" spans="1:8" x14ac:dyDescent="0.25">
      <c r="A8" s="14" t="s">
        <v>25</v>
      </c>
      <c r="B8" s="15">
        <v>25.79</v>
      </c>
      <c r="C8" s="12">
        <v>7.1638888888888889E-3</v>
      </c>
      <c r="G8" s="16" t="s">
        <v>45</v>
      </c>
      <c r="H8" s="16">
        <v>448.77</v>
      </c>
    </row>
    <row r="9" spans="1:8" x14ac:dyDescent="0.25">
      <c r="A9" s="17" t="s">
        <v>26</v>
      </c>
      <c r="B9" s="18">
        <v>63.513501984126989</v>
      </c>
      <c r="C9" s="19">
        <v>1.7642639440035274E-2</v>
      </c>
    </row>
    <row r="10" spans="1:8" x14ac:dyDescent="0.25">
      <c r="A10" s="14" t="s">
        <v>46</v>
      </c>
      <c r="B10" s="15">
        <v>26.08</v>
      </c>
      <c r="C10" s="12">
        <v>7.244444444444444E-3</v>
      </c>
    </row>
    <row r="11" spans="1:8" x14ac:dyDescent="0.25">
      <c r="A11" s="17" t="s">
        <v>47</v>
      </c>
      <c r="B11" s="18">
        <v>25</v>
      </c>
      <c r="C11" s="19">
        <v>6.9444444444444441E-3</v>
      </c>
    </row>
    <row r="12" spans="1:8" x14ac:dyDescent="0.25">
      <c r="A12" s="21" t="s">
        <v>48</v>
      </c>
      <c r="B12" s="15">
        <v>39.93</v>
      </c>
      <c r="C12" s="12">
        <v>1.1091666666666666E-2</v>
      </c>
    </row>
    <row r="14" spans="1:8" x14ac:dyDescent="0.25">
      <c r="A14" s="22" t="s">
        <v>49</v>
      </c>
      <c r="B14" s="23">
        <v>4.7</v>
      </c>
    </row>
    <row r="17" spans="1:4" x14ac:dyDescent="0.25">
      <c r="C17" s="16" t="s">
        <v>50</v>
      </c>
      <c r="D17" s="16" t="s">
        <v>51</v>
      </c>
    </row>
    <row r="18" spans="1:4" x14ac:dyDescent="0.25">
      <c r="A18" s="24" t="s">
        <v>52</v>
      </c>
      <c r="B18" s="25">
        <v>350.14</v>
      </c>
      <c r="C18" s="26">
        <v>3.2122935779816513</v>
      </c>
      <c r="D18" s="16" t="s">
        <v>53</v>
      </c>
    </row>
    <row r="19" spans="1:4" x14ac:dyDescent="0.25">
      <c r="A19" s="24" t="s">
        <v>54</v>
      </c>
      <c r="B19" s="25">
        <v>1130</v>
      </c>
      <c r="C19" s="26">
        <v>10</v>
      </c>
      <c r="D19" s="16"/>
    </row>
    <row r="20" spans="1:4" x14ac:dyDescent="0.25">
      <c r="A20" s="24" t="s">
        <v>55</v>
      </c>
      <c r="B20" s="25">
        <v>813.35</v>
      </c>
      <c r="C20" s="16" t="s">
        <v>53</v>
      </c>
      <c r="D20" s="26">
        <v>15.346226415094341</v>
      </c>
    </row>
    <row r="22" spans="1:4" x14ac:dyDescent="0.25">
      <c r="A22" s="38" t="s">
        <v>56</v>
      </c>
      <c r="B22" s="38"/>
    </row>
    <row r="23" spans="1:4" x14ac:dyDescent="0.25">
      <c r="A23" s="27" t="s">
        <v>57</v>
      </c>
      <c r="B23" s="28">
        <v>300</v>
      </c>
    </row>
    <row r="24" spans="1:4" x14ac:dyDescent="0.25">
      <c r="A24" s="27" t="s">
        <v>58</v>
      </c>
      <c r="B24" s="28">
        <v>5.8</v>
      </c>
    </row>
  </sheetData>
  <mergeCells count="1">
    <mergeCell ref="A22:B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hora maquina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2026-06-25T13:49:54Z</dcterms:created>
  <dcterms:modified xsi:type="dcterms:W3CDTF">2026-09-01T21:04:15Z</dcterms:modified>
</cp:coreProperties>
</file>