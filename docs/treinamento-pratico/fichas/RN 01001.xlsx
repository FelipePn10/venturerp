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Felipe Panosso\"/>
    </mc:Choice>
  </mc:AlternateContent>
  <xr:revisionPtr revIDLastSave="0" documentId="13_ncr:1_{C1D602BA-59A9-40B5-8A2A-71E78FACDD0C}" xr6:coauthVersionLast="47" xr6:coauthVersionMax="47" xr10:uidLastSave="{00000000-0000-0000-0000-000000000000}"/>
  <bookViews>
    <workbookView xWindow="-120" yWindow="-120" windowWidth="20730" windowHeight="11040" xr2:uid="{853B3B91-E3D9-4404-9AD3-4C0447968919}"/>
  </bookViews>
  <sheets>
    <sheet name="Planilha1" sheetId="1" r:id="rId1"/>
    <sheet name="Hora maquina" sheetId="2" state="hidden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1" i="1" l="1"/>
  <c r="B50" i="1"/>
  <c r="E78" i="1"/>
  <c r="E70" i="1"/>
  <c r="E56" i="1"/>
  <c r="B61" i="1"/>
  <c r="B60" i="1"/>
  <c r="B73" i="1"/>
  <c r="B72" i="1"/>
  <c r="E86" i="1"/>
  <c r="B80" i="1"/>
  <c r="G10" i="1" l="1"/>
  <c r="G4" i="1"/>
  <c r="G5" i="1"/>
  <c r="G6" i="1"/>
  <c r="G8" i="1"/>
  <c r="G9" i="1"/>
  <c r="G3" i="1"/>
  <c r="F7" i="1"/>
  <c r="E7" i="1"/>
  <c r="G7" i="1" l="1"/>
  <c r="E96" i="1"/>
  <c r="E95" i="1"/>
  <c r="E94" i="1"/>
  <c r="E93" i="1"/>
  <c r="C96" i="1"/>
  <c r="C95" i="1"/>
  <c r="C94" i="1"/>
  <c r="C93" i="1"/>
  <c r="B89" i="1"/>
  <c r="B88" i="1"/>
  <c r="E47" i="1"/>
  <c r="E45" i="1"/>
  <c r="E46" i="1"/>
  <c r="C47" i="1"/>
  <c r="C46" i="1"/>
  <c r="C45" i="1"/>
  <c r="B43" i="1"/>
  <c r="B41" i="1"/>
  <c r="B40" i="1"/>
  <c r="E37" i="1"/>
  <c r="B33" i="1"/>
  <c r="E36" i="1"/>
  <c r="E35" i="1"/>
  <c r="C37" i="1"/>
  <c r="C36" i="1"/>
  <c r="C35" i="1"/>
  <c r="E17" i="1"/>
  <c r="C17" i="1"/>
  <c r="E27" i="1"/>
  <c r="E26" i="1"/>
  <c r="E25" i="1"/>
  <c r="C27" i="1"/>
  <c r="C26" i="1"/>
  <c r="C25" i="1"/>
  <c r="B31" i="1"/>
  <c r="B30" i="1"/>
  <c r="B23" i="1"/>
  <c r="B21" i="1"/>
  <c r="B20" i="1"/>
  <c r="B15" i="1"/>
  <c r="B13" i="1"/>
  <c r="B12" i="1"/>
  <c r="E97" i="1" l="1"/>
  <c r="E48" i="1"/>
  <c r="E38" i="1"/>
  <c r="E28" i="1"/>
  <c r="E18" i="1"/>
</calcChain>
</file>

<file path=xl/sharedStrings.xml><?xml version="1.0" encoding="utf-8"?>
<sst xmlns="http://schemas.openxmlformats.org/spreadsheetml/2006/main" count="179" uniqueCount="86">
  <si>
    <t>DESCRIÇÃO</t>
  </si>
  <si>
    <t>CÓDIGO TRUCKPARTS</t>
  </si>
  <si>
    <t>QTD</t>
  </si>
  <si>
    <t>PESO LÍQUIDO UNITÁRIO</t>
  </si>
  <si>
    <t>LATERAL 5/16" BALANÇA CARRETA ASA DELTA LS PINO Ø 50MM</t>
  </si>
  <si>
    <t>PEITO DE POMBO 170 X 94 X 3/8"</t>
  </si>
  <si>
    <t>FECHAMENTO INFERIOR 130 X 94 X 3MM</t>
  </si>
  <si>
    <t>RN 01001</t>
  </si>
  <si>
    <t>BALANÇA ASA DELTA CARRETA PINO Ø 50MM</t>
  </si>
  <si>
    <t>TP 01001A</t>
  </si>
  <si>
    <t>TP 01001B</t>
  </si>
  <si>
    <t>TP 01001C</t>
  </si>
  <si>
    <t>TP 01001D</t>
  </si>
  <si>
    <t>FECHAMENTO SUPERIOR 504 X 102 X 3MM</t>
  </si>
  <si>
    <t>MÁQUINA</t>
  </si>
  <si>
    <t>CUSTO HORA MÁQUINA</t>
  </si>
  <si>
    <t>SEGUNDOS</t>
  </si>
  <si>
    <t>CHAPA 1200 X 3000</t>
  </si>
  <si>
    <t>PESO UNITÁRIO</t>
  </si>
  <si>
    <t>Laser Calfran</t>
  </si>
  <si>
    <t>3mm</t>
  </si>
  <si>
    <t>Dobradeira ERMAK 3300</t>
  </si>
  <si>
    <t>3/16"</t>
  </si>
  <si>
    <t>Guilhotina</t>
  </si>
  <si>
    <t>1/4"</t>
  </si>
  <si>
    <t>Maquina de Solda</t>
  </si>
  <si>
    <t>5/16"</t>
  </si>
  <si>
    <t>Prensa</t>
  </si>
  <si>
    <t>3/8"</t>
  </si>
  <si>
    <t>Policorte</t>
  </si>
  <si>
    <t>1/2"</t>
  </si>
  <si>
    <t>Limpeza</t>
  </si>
  <si>
    <t>5/8"</t>
  </si>
  <si>
    <t>Pintura</t>
  </si>
  <si>
    <t>Furadeira</t>
  </si>
  <si>
    <t>Embalagem OPERADOR MÉDIO</t>
  </si>
  <si>
    <t>Serra Fita</t>
  </si>
  <si>
    <t>VALOR DO AÇO (CHAPAS JANDAIA)</t>
  </si>
  <si>
    <t>50mm</t>
  </si>
  <si>
    <t>110mm</t>
  </si>
  <si>
    <t>Tubo Bucha Interna Pino 50mm</t>
  </si>
  <si>
    <t>-</t>
  </si>
  <si>
    <t>Tubo Bucha Interna Pino 60,4mm / 61,5mm</t>
  </si>
  <si>
    <t>Tubo Bucha Externa</t>
  </si>
  <si>
    <t>Tabela de Cementação</t>
  </si>
  <si>
    <t>Até 50kg</t>
  </si>
  <si>
    <t>Acima de 50kg</t>
  </si>
  <si>
    <t>Código:</t>
  </si>
  <si>
    <t>Descrição:</t>
  </si>
  <si>
    <t>Lote Economico:</t>
  </si>
  <si>
    <t>Quantidade:</t>
  </si>
  <si>
    <t>Processo</t>
  </si>
  <si>
    <t>Tempo de Setup</t>
  </si>
  <si>
    <t>Custo de Setup</t>
  </si>
  <si>
    <t>Tempo de Processo</t>
  </si>
  <si>
    <t>Custo de Processo</t>
  </si>
  <si>
    <t>Cortar no Laser</t>
  </si>
  <si>
    <t>CUSTO TOTAL</t>
  </si>
  <si>
    <t>Cortar na Guilhotina</t>
  </si>
  <si>
    <t>Repicar na Guilhotina</t>
  </si>
  <si>
    <t>Repicar na Guilotina</t>
  </si>
  <si>
    <t>Dobrar na Prensa</t>
  </si>
  <si>
    <t>Dobrar na Dobradeira</t>
  </si>
  <si>
    <t>Montagem</t>
  </si>
  <si>
    <t>Soldar na Mig</t>
  </si>
  <si>
    <t>BU 0120/50</t>
  </si>
  <si>
    <t>BUCHA DA BALANÇA 120MM PARA PINO 50MM</t>
  </si>
  <si>
    <t>MATÉRIA PRIMA</t>
  </si>
  <si>
    <t>PESO BRUTO</t>
  </si>
  <si>
    <t>CHAPA DE AÇO 5/16"</t>
  </si>
  <si>
    <t>CHAPA DE AÇO 3/8"</t>
  </si>
  <si>
    <t>CHAPA DE AÇO 3MM</t>
  </si>
  <si>
    <t>BUCHA EXTERNA 120MM</t>
  </si>
  <si>
    <t>BUCHA EXTERNA + BUCHA INTERNA</t>
  </si>
  <si>
    <t>TUBO DE AÇO REDONDO Ø60,3 X 4,75</t>
  </si>
  <si>
    <t>BU 0120E</t>
  </si>
  <si>
    <t>% DE PERCA</t>
  </si>
  <si>
    <t>BUCHA INTERNA 50,4MM ACABADA</t>
  </si>
  <si>
    <t>BUCHA INTERNA 50,4MM SEMI-ACABADA</t>
  </si>
  <si>
    <t>Cortar na Serra</t>
  </si>
  <si>
    <t>Usinagem (Terceirizado)</t>
  </si>
  <si>
    <t>Cementação</t>
  </si>
  <si>
    <t>Enrolar na Prensa</t>
  </si>
  <si>
    <t>Soldar na MIG</t>
  </si>
  <si>
    <t>Endireitar na Morça</t>
  </si>
  <si>
    <t>Embuchar na Prensa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</si>
</sst>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5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1" fillId="2" borderId="1" xfId="0" applyFont="1" applyFill="1" applyBorder="1" applyAlignment="1">
      <alignment horizontal="center"/>
    </xf>
    <xf numFmtId="43" fontId="3" fillId="4" borderId="1" xfId="3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3" fontId="0" fillId="3" borderId="1" xfId="3" applyFont="1" applyFill="1" applyBorder="1" applyAlignment="1">
      <alignment horizontal="center"/>
    </xf>
    <xf numFmtId="44" fontId="0" fillId="3" borderId="1" xfId="4" applyFont="1" applyFill="1" applyBorder="1" applyAlignment="1">
      <alignment horizontal="center"/>
    </xf>
    <xf numFmtId="44" fontId="0" fillId="3" borderId="1" xfId="0" applyNumberFormat="1" applyFill="1" applyBorder="1"/>
    <xf numFmtId="43" fontId="0" fillId="5" borderId="1" xfId="3" applyFont="1" applyFill="1" applyBorder="1" applyAlignment="1">
      <alignment horizontal="center"/>
    </xf>
    <xf numFmtId="44" fontId="0" fillId="5" borderId="1" xfId="4" applyFont="1" applyFill="1" applyBorder="1" applyAlignment="1">
      <alignment horizontal="center"/>
    </xf>
    <xf numFmtId="44" fontId="0" fillId="5" borderId="1" xfId="0" applyNumberFormat="1" applyFill="1" applyBorder="1"/>
    <xf numFmtId="44" fontId="0" fillId="5" borderId="1" xfId="4" applyFont="1" applyFill="1" applyBorder="1"/>
    <xf numFmtId="43" fontId="0" fillId="3" borderId="2" xfId="3" applyFont="1" applyFill="1" applyBorder="1" applyAlignment="1">
      <alignment horizontal="center"/>
    </xf>
    <xf numFmtId="43" fontId="3" fillId="4" borderId="3" xfId="3" applyFont="1" applyFill="1" applyBorder="1"/>
    <xf numFmtId="44" fontId="0" fillId="3" borderId="1" xfId="4" applyFont="1" applyFill="1" applyBorder="1"/>
    <xf numFmtId="0" fontId="0" fillId="0" borderId="1" xfId="0" applyBorder="1" applyAlignment="1">
      <alignment horizontal="center"/>
    </xf>
    <xf numFmtId="0" fontId="3" fillId="4" borderId="1" xfId="0" applyFont="1" applyFill="1" applyBorder="1"/>
    <xf numFmtId="44" fontId="0" fillId="0" borderId="2" xfId="4" applyFont="1" applyBorder="1"/>
    <xf numFmtId="44" fontId="0" fillId="0" borderId="1" xfId="0" applyNumberFormat="1" applyBorder="1" applyAlignment="1">
      <alignment horizontal="center"/>
    </xf>
    <xf numFmtId="0" fontId="0" fillId="0" borderId="1" xfId="0" applyBorder="1"/>
    <xf numFmtId="44" fontId="0" fillId="0" borderId="1" xfId="4" applyFont="1" applyBorder="1"/>
    <xf numFmtId="0" fontId="0" fillId="3" borderId="2" xfId="0" applyFill="1" applyBorder="1"/>
    <xf numFmtId="0" fontId="0" fillId="3" borderId="1" xfId="0" applyFill="1" applyBorder="1" applyAlignment="1">
      <alignment horizontal="left"/>
    </xf>
    <xf numFmtId="0" fontId="0" fillId="3" borderId="3" xfId="0" applyFill="1" applyBorder="1"/>
    <xf numFmtId="2" fontId="0" fillId="3" borderId="1" xfId="0" applyNumberFormat="1" applyFill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44" fontId="1" fillId="6" borderId="1" xfId="0" applyNumberFormat="1" applyFont="1" applyFill="1" applyBorder="1"/>
    <xf numFmtId="9" fontId="0" fillId="3" borderId="0" xfId="2" applyFont="1" applyFill="1" applyBorder="1" applyAlignment="1">
      <alignment horizontal="center"/>
    </xf>
    <xf numFmtId="9" fontId="0" fillId="3" borderId="0" xfId="2" applyFont="1" applyFill="1" applyBorder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" fillId="6" borderId="2" xfId="0" applyFont="1" applyFill="1" applyBorder="1" applyAlignment="1">
      <alignment horizontal="right"/>
    </xf>
    <xf numFmtId="0" fontId="1" fillId="6" borderId="4" xfId="0" applyFont="1" applyFill="1" applyBorder="1" applyAlignment="1">
      <alignment horizontal="right"/>
    </xf>
    <xf numFmtId="0" fontId="1" fillId="6" borderId="5" xfId="0" applyFont="1" applyFill="1" applyBorder="1" applyAlignment="1">
      <alignment horizontal="right"/>
    </xf>
    <xf numFmtId="0" fontId="1" fillId="6" borderId="1" xfId="0" applyFont="1" applyFill="1" applyBorder="1" applyAlignment="1">
      <alignment horizontal="right"/>
    </xf>
    <xf numFmtId="44" fontId="3" fillId="4" borderId="1" xfId="4" applyFont="1" applyFill="1" applyBorder="1" applyAlignment="1">
      <alignment horizontal="center"/>
    </xf>
    <xf numFmtId="0" fontId="0" fillId="3" borderId="0" xfId="0" applyFill="1" applyBorder="1"/>
    <xf numFmtId="0" fontId="0" fillId="3" borderId="0" xfId="0" applyFill="1" applyBorder="1" applyAlignment="1">
      <alignment horizontal="center"/>
    </xf>
    <xf numFmtId="9" fontId="0" fillId="3" borderId="1" xfId="2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0" fontId="0" fillId="3" borderId="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1" fillId="3" borderId="2" xfId="0" applyFont="1" applyFill="1" applyBorder="1" applyAlignment="1">
      <alignment horizontal="right"/>
    </xf>
    <xf numFmtId="0" fontId="1" fillId="3" borderId="4" xfId="0" applyFont="1" applyFill="1" applyBorder="1" applyAlignment="1">
      <alignment horizontal="right"/>
    </xf>
    <xf numFmtId="0" fontId="1" fillId="3" borderId="0" xfId="0" applyFont="1" applyFill="1" applyBorder="1" applyAlignment="1">
      <alignment horizontal="right"/>
    </xf>
    <xf numFmtId="44" fontId="1" fillId="3" borderId="0" xfId="0" applyNumberFormat="1" applyFont="1" applyFill="1" applyBorder="1"/>
    <xf numFmtId="0" fontId="0" fillId="3" borderId="7" xfId="0" applyFill="1" applyBorder="1"/>
    <xf numFmtId="44" fontId="0" fillId="3" borderId="1" xfId="1" applyFont="1" applyFill="1" applyBorder="1" applyAlignment="1"/>
  </cellXfs>
  <cellStyles count="5">
    <cellStyle name="Moeda" xfId="1" builtinId="4"/>
    <cellStyle name="Moeda 2" xfId="4" xr:uid="{81BF813F-6B0F-4F48-8B90-8A73DD0DF7BB}"/>
    <cellStyle name="Normal" xfId="0" builtinId="0"/>
    <cellStyle name="Porcentagem" xfId="2" builtinId="5"/>
    <cellStyle name="Vírgula 2" xfId="3" xr:uid="{663D31E7-164F-42FA-9A73-21AB12985B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156884</xdr:colOff>
      <xdr:row>13</xdr:row>
      <xdr:rowOff>190498</xdr:rowOff>
    </xdr:from>
    <xdr:to>
      <xdr:col>9</xdr:col>
      <xdr:colOff>446357</xdr:colOff>
      <xdr:row>24</xdr:row>
      <xdr:rowOff>89828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3ADEAC-FAAD-1313-EE28-B8C6BD417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72766" y="2666998"/>
          <a:ext cx="2463414" cy="1994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6FD75-303F-46C5-A741-CCC79A01F8E3}">
  <dimension ref="A1:G97"/>
  <sheetViews>
    <sheetView tabSelected="1" zoomScale="85" zoomScaleNormal="85" workbookViewId="0">
      <selection activeCell="D20" sqref="D20:F20"/>
    </sheetView>
  </sheetViews>
  <sheetFormatPr defaultRowHeight="15" x14ac:dyDescent="0.25"/>
  <cols>
    <col min="1" max="1" width="24.28515625" style="3" bestFit="1" customWidth="1"/>
    <col min="2" max="2" width="57.28515625" style="3" bestFit="1" customWidth="1"/>
    <col min="3" max="3" width="15" style="4" bestFit="1" customWidth="1"/>
    <col min="4" max="4" width="19.140625" style="4" bestFit="1" customWidth="1"/>
    <col min="5" max="5" width="33" style="4" customWidth="1"/>
    <col min="6" max="6" width="23.28515625" style="4" bestFit="1" customWidth="1"/>
    <col min="7" max="8" width="11.7109375" style="4" customWidth="1"/>
    <col min="9" max="16384" width="9.140625" style="4"/>
  </cols>
  <sheetData>
    <row r="1" spans="1:7" x14ac:dyDescent="0.25">
      <c r="A1" s="1" t="s">
        <v>1</v>
      </c>
      <c r="B1" s="2" t="s">
        <v>0</v>
      </c>
      <c r="C1" s="2" t="s">
        <v>2</v>
      </c>
      <c r="D1" s="2" t="s">
        <v>67</v>
      </c>
      <c r="E1" s="2" t="s">
        <v>3</v>
      </c>
      <c r="F1" s="5" t="s">
        <v>68</v>
      </c>
      <c r="G1" s="2" t="s">
        <v>76</v>
      </c>
    </row>
    <row r="2" spans="1:7" x14ac:dyDescent="0.25">
      <c r="A2" s="1" t="s">
        <v>7</v>
      </c>
      <c r="B2" s="6" t="s">
        <v>8</v>
      </c>
      <c r="C2" s="5"/>
      <c r="D2" s="5"/>
      <c r="E2" s="5"/>
      <c r="F2" s="5"/>
      <c r="G2" s="5"/>
    </row>
    <row r="3" spans="1:7" x14ac:dyDescent="0.25">
      <c r="A3" s="1" t="s">
        <v>9</v>
      </c>
      <c r="B3" s="5" t="s">
        <v>4</v>
      </c>
      <c r="C3" s="2">
        <v>2</v>
      </c>
      <c r="D3" s="2" t="s">
        <v>69</v>
      </c>
      <c r="E3" s="2">
        <v>3.71</v>
      </c>
      <c r="F3" s="28">
        <v>4.71</v>
      </c>
      <c r="G3" s="47">
        <f>(F3/E3)-1</f>
        <v>0.26954177897574128</v>
      </c>
    </row>
    <row r="4" spans="1:7" x14ac:dyDescent="0.25">
      <c r="A4" s="1" t="s">
        <v>10</v>
      </c>
      <c r="B4" s="5" t="s">
        <v>5</v>
      </c>
      <c r="C4" s="2">
        <v>2</v>
      </c>
      <c r="D4" s="2" t="s">
        <v>70</v>
      </c>
      <c r="E4" s="2">
        <v>1.22</v>
      </c>
      <c r="F4" s="28">
        <v>1.32</v>
      </c>
      <c r="G4" s="47">
        <f>(F4/E4)-1</f>
        <v>8.1967213114754189E-2</v>
      </c>
    </row>
    <row r="5" spans="1:7" x14ac:dyDescent="0.25">
      <c r="A5" s="1" t="s">
        <v>11</v>
      </c>
      <c r="B5" s="5" t="s">
        <v>13</v>
      </c>
      <c r="C5" s="2">
        <v>1</v>
      </c>
      <c r="D5" s="2" t="s">
        <v>71</v>
      </c>
      <c r="E5" s="2">
        <v>1.23</v>
      </c>
      <c r="F5" s="28">
        <v>1.35</v>
      </c>
      <c r="G5" s="47">
        <f>(F5/E5)-1</f>
        <v>9.7560975609756184E-2</v>
      </c>
    </row>
    <row r="6" spans="1:7" x14ac:dyDescent="0.25">
      <c r="A6" s="1" t="s">
        <v>12</v>
      </c>
      <c r="B6" s="5" t="s">
        <v>6</v>
      </c>
      <c r="C6" s="2">
        <v>1</v>
      </c>
      <c r="D6" s="2" t="s">
        <v>71</v>
      </c>
      <c r="E6" s="2">
        <v>0.24</v>
      </c>
      <c r="F6" s="28">
        <v>0.27</v>
      </c>
      <c r="G6" s="47">
        <f>(F6/E6)-1</f>
        <v>0.12500000000000022</v>
      </c>
    </row>
    <row r="7" spans="1:7" x14ac:dyDescent="0.25">
      <c r="A7" s="1" t="s">
        <v>65</v>
      </c>
      <c r="B7" s="5" t="s">
        <v>66</v>
      </c>
      <c r="C7" s="2">
        <v>1</v>
      </c>
      <c r="D7" s="2" t="s">
        <v>73</v>
      </c>
      <c r="E7" s="2">
        <f>E8+E9+E9</f>
        <v>2.25</v>
      </c>
      <c r="F7" s="2">
        <f>F8+F9+F9</f>
        <v>2.2949999999999999</v>
      </c>
      <c r="G7" s="47">
        <f>(F7/E7)-1</f>
        <v>2.0000000000000018E-2</v>
      </c>
    </row>
    <row r="8" spans="1:7" x14ac:dyDescent="0.25">
      <c r="A8" s="2" t="s">
        <v>75</v>
      </c>
      <c r="B8" s="5" t="s">
        <v>72</v>
      </c>
      <c r="C8" s="2">
        <v>1</v>
      </c>
      <c r="D8" s="2" t="s">
        <v>69</v>
      </c>
      <c r="E8" s="2">
        <v>1.65</v>
      </c>
      <c r="F8" s="2">
        <v>1.6830000000000001</v>
      </c>
      <c r="G8" s="47">
        <f>(F8/E8)-1</f>
        <v>2.0000000000000018E-2</v>
      </c>
    </row>
    <row r="9" spans="1:7" x14ac:dyDescent="0.25">
      <c r="A9" s="2" t="s">
        <v>41</v>
      </c>
      <c r="B9" s="5" t="s">
        <v>77</v>
      </c>
      <c r="C9" s="2">
        <v>2</v>
      </c>
      <c r="D9" s="2" t="s">
        <v>74</v>
      </c>
      <c r="E9" s="2">
        <v>0.3</v>
      </c>
      <c r="F9" s="2">
        <v>0.30599999999999999</v>
      </c>
      <c r="G9" s="47">
        <f>(F9/E9)-1</f>
        <v>2.0000000000000018E-2</v>
      </c>
    </row>
    <row r="10" spans="1:7" x14ac:dyDescent="0.25">
      <c r="A10" s="2" t="s">
        <v>41</v>
      </c>
      <c r="B10" s="5" t="s">
        <v>78</v>
      </c>
      <c r="C10" s="2">
        <v>2</v>
      </c>
      <c r="D10" s="2" t="s">
        <v>74</v>
      </c>
      <c r="E10" s="2">
        <v>0.3</v>
      </c>
      <c r="F10" s="2">
        <v>0.30599999999999999</v>
      </c>
      <c r="G10" s="47">
        <f>(F10/E10)-1</f>
        <v>2.0000000000000018E-2</v>
      </c>
    </row>
    <row r="12" spans="1:7" x14ac:dyDescent="0.25">
      <c r="A12" s="5" t="s">
        <v>47</v>
      </c>
      <c r="B12" s="5" t="str">
        <f>A3</f>
        <v>TP 01001A</v>
      </c>
      <c r="C12" s="3"/>
      <c r="D12" s="37"/>
      <c r="E12" s="37"/>
      <c r="F12" s="37"/>
    </row>
    <row r="13" spans="1:7" x14ac:dyDescent="0.25">
      <c r="A13" s="5" t="s">
        <v>48</v>
      </c>
      <c r="B13" s="5" t="str">
        <f>B3</f>
        <v>LATERAL 5/16" BALANÇA CARRETA ASA DELTA LS PINO Ø 50MM</v>
      </c>
      <c r="D13" s="32"/>
      <c r="E13" s="32"/>
      <c r="F13" s="32"/>
    </row>
    <row r="14" spans="1:7" x14ac:dyDescent="0.25">
      <c r="A14" s="5" t="s">
        <v>49</v>
      </c>
      <c r="B14" s="2">
        <v>200</v>
      </c>
      <c r="D14" s="32"/>
      <c r="E14" s="32"/>
      <c r="F14" s="32"/>
    </row>
    <row r="15" spans="1:7" x14ac:dyDescent="0.25">
      <c r="A15" s="27" t="s">
        <v>50</v>
      </c>
      <c r="B15" s="2">
        <f>C3</f>
        <v>2</v>
      </c>
      <c r="D15" s="32"/>
      <c r="E15" s="32"/>
      <c r="F15" s="32"/>
    </row>
    <row r="16" spans="1:7" x14ac:dyDescent="0.25">
      <c r="A16" s="2" t="s">
        <v>51</v>
      </c>
      <c r="B16" s="2" t="s">
        <v>52</v>
      </c>
      <c r="C16" s="2" t="s">
        <v>53</v>
      </c>
      <c r="D16" s="2" t="s">
        <v>54</v>
      </c>
      <c r="E16" s="2" t="s">
        <v>55</v>
      </c>
    </row>
    <row r="17" spans="1:6" x14ac:dyDescent="0.25">
      <c r="A17" s="5" t="s">
        <v>56</v>
      </c>
      <c r="B17" s="2">
        <v>180</v>
      </c>
      <c r="C17" s="29">
        <f>(B17*'Hora maquina'!C2)/B14</f>
        <v>2.9637499999999997E-2</v>
      </c>
      <c r="D17" s="2">
        <v>85</v>
      </c>
      <c r="E17" s="29">
        <f>D17*'Hora maquina'!C2</f>
        <v>2.7990972222222221</v>
      </c>
    </row>
    <row r="18" spans="1:6" x14ac:dyDescent="0.25">
      <c r="A18" s="43" t="s">
        <v>57</v>
      </c>
      <c r="B18" s="43"/>
      <c r="C18" s="43"/>
      <c r="D18" s="43"/>
      <c r="E18" s="35">
        <f>(C17+E17)*B15</f>
        <v>5.6574694444444447</v>
      </c>
    </row>
    <row r="19" spans="1:6" x14ac:dyDescent="0.25">
      <c r="A19" s="4"/>
      <c r="B19" s="4"/>
    </row>
    <row r="20" spans="1:6" x14ac:dyDescent="0.25">
      <c r="A20" s="5" t="s">
        <v>47</v>
      </c>
      <c r="B20" s="5" t="str">
        <f>A4</f>
        <v>TP 01001B</v>
      </c>
      <c r="C20" s="3"/>
      <c r="D20" s="37"/>
      <c r="E20" s="37"/>
      <c r="F20" s="37"/>
    </row>
    <row r="21" spans="1:6" x14ac:dyDescent="0.25">
      <c r="A21" s="5" t="s">
        <v>48</v>
      </c>
      <c r="B21" s="5" t="str">
        <f>B4</f>
        <v>PEITO DE POMBO 170 X 94 X 3/8"</v>
      </c>
      <c r="D21" s="32"/>
      <c r="E21" s="32"/>
      <c r="F21" s="32"/>
    </row>
    <row r="22" spans="1:6" x14ac:dyDescent="0.25">
      <c r="A22" s="5" t="s">
        <v>49</v>
      </c>
      <c r="B22" s="2">
        <v>200</v>
      </c>
      <c r="D22" s="32"/>
      <c r="E22" s="32"/>
      <c r="F22" s="32"/>
    </row>
    <row r="23" spans="1:6" x14ac:dyDescent="0.25">
      <c r="A23" s="5" t="s">
        <v>50</v>
      </c>
      <c r="B23" s="2">
        <f>C4</f>
        <v>2</v>
      </c>
      <c r="D23" s="32"/>
      <c r="E23" s="32"/>
      <c r="F23" s="32"/>
    </row>
    <row r="24" spans="1:6" x14ac:dyDescent="0.25">
      <c r="A24" s="2" t="s">
        <v>51</v>
      </c>
      <c r="B24" s="2" t="s">
        <v>52</v>
      </c>
      <c r="C24" s="33" t="s">
        <v>53</v>
      </c>
      <c r="D24" s="2" t="s">
        <v>54</v>
      </c>
      <c r="E24" s="2" t="s">
        <v>55</v>
      </c>
    </row>
    <row r="25" spans="1:6" x14ac:dyDescent="0.25">
      <c r="A25" s="26" t="s">
        <v>58</v>
      </c>
      <c r="B25" s="2">
        <v>300</v>
      </c>
      <c r="C25" s="29">
        <f>(B25*'Hora maquina'!C4)/B22</f>
        <v>2.3012500000000002E-2</v>
      </c>
      <c r="D25" s="2">
        <v>15</v>
      </c>
      <c r="E25" s="29">
        <f>D25*'Hora maquina'!C4</f>
        <v>0.230125</v>
      </c>
    </row>
    <row r="26" spans="1:6" x14ac:dyDescent="0.25">
      <c r="A26" s="26" t="s">
        <v>60</v>
      </c>
      <c r="B26" s="2">
        <v>300</v>
      </c>
      <c r="C26" s="29">
        <f>(B26*'Hora maquina'!C4)/B22</f>
        <v>2.3012500000000002E-2</v>
      </c>
      <c r="D26" s="2">
        <v>15</v>
      </c>
      <c r="E26" s="29">
        <f>D26*'Hora maquina'!C4</f>
        <v>0.230125</v>
      </c>
    </row>
    <row r="27" spans="1:6" x14ac:dyDescent="0.25">
      <c r="A27" s="26" t="s">
        <v>61</v>
      </c>
      <c r="B27" s="2">
        <v>600</v>
      </c>
      <c r="C27" s="29">
        <f>(B27*'Hora maquina'!C6)/B22</f>
        <v>3.4716666666666667E-2</v>
      </c>
      <c r="D27" s="2">
        <v>20</v>
      </c>
      <c r="E27" s="29">
        <f>D27*'Hora maquina'!C6</f>
        <v>0.23144444444444442</v>
      </c>
    </row>
    <row r="28" spans="1:6" x14ac:dyDescent="0.25">
      <c r="A28" s="40" t="s">
        <v>57</v>
      </c>
      <c r="B28" s="41"/>
      <c r="C28" s="41"/>
      <c r="D28" s="42"/>
      <c r="E28" s="35">
        <f>(C25+E25+C27+E27+C26+E26)*B23</f>
        <v>1.5448722222222222</v>
      </c>
    </row>
    <row r="29" spans="1:6" x14ac:dyDescent="0.25">
      <c r="A29" s="4"/>
      <c r="B29" s="4"/>
    </row>
    <row r="30" spans="1:6" x14ac:dyDescent="0.25">
      <c r="A30" s="5" t="s">
        <v>47</v>
      </c>
      <c r="B30" s="5" t="str">
        <f>A5</f>
        <v>TP 01001C</v>
      </c>
      <c r="C30" s="3"/>
      <c r="D30" s="37"/>
      <c r="E30" s="37"/>
      <c r="F30" s="37"/>
    </row>
    <row r="31" spans="1:6" x14ac:dyDescent="0.25">
      <c r="A31" s="5" t="s">
        <v>48</v>
      </c>
      <c r="B31" s="5" t="str">
        <f>B5</f>
        <v>FECHAMENTO SUPERIOR 504 X 102 X 3MM</v>
      </c>
      <c r="D31" s="32"/>
      <c r="E31" s="32"/>
      <c r="F31" s="32"/>
    </row>
    <row r="32" spans="1:6" x14ac:dyDescent="0.25">
      <c r="A32" s="5" t="s">
        <v>49</v>
      </c>
      <c r="B32" s="2">
        <v>100</v>
      </c>
      <c r="D32" s="32"/>
      <c r="E32" s="32"/>
      <c r="F32" s="32"/>
    </row>
    <row r="33" spans="1:6" x14ac:dyDescent="0.25">
      <c r="A33" s="5" t="s">
        <v>50</v>
      </c>
      <c r="B33" s="2">
        <f>C5</f>
        <v>1</v>
      </c>
      <c r="D33" s="32"/>
      <c r="E33" s="32"/>
      <c r="F33" s="32"/>
    </row>
    <row r="34" spans="1:6" x14ac:dyDescent="0.25">
      <c r="A34" s="2" t="s">
        <v>51</v>
      </c>
      <c r="B34" s="2" t="s">
        <v>52</v>
      </c>
      <c r="C34" s="33" t="s">
        <v>53</v>
      </c>
      <c r="D34" s="2" t="s">
        <v>54</v>
      </c>
      <c r="E34" s="2" t="s">
        <v>55</v>
      </c>
    </row>
    <row r="35" spans="1:6" x14ac:dyDescent="0.25">
      <c r="A35" s="26" t="s">
        <v>58</v>
      </c>
      <c r="B35" s="2">
        <v>300</v>
      </c>
      <c r="C35" s="29">
        <f>(B35*'Hora maquina'!C4)/B32</f>
        <v>4.6025000000000003E-2</v>
      </c>
      <c r="D35" s="2">
        <v>15</v>
      </c>
      <c r="E35" s="29">
        <f>D35*'Hora maquina'!C4</f>
        <v>0.230125</v>
      </c>
    </row>
    <row r="36" spans="1:6" x14ac:dyDescent="0.25">
      <c r="A36" s="26" t="s">
        <v>59</v>
      </c>
      <c r="B36" s="2">
        <v>300</v>
      </c>
      <c r="C36" s="29">
        <f>(B36*'Hora maquina'!C4)/B32</f>
        <v>4.6025000000000003E-2</v>
      </c>
      <c r="D36" s="2">
        <v>15</v>
      </c>
      <c r="E36" s="29">
        <f>D36*'Hora maquina'!C4</f>
        <v>0.230125</v>
      </c>
    </row>
    <row r="37" spans="1:6" x14ac:dyDescent="0.25">
      <c r="A37" s="26" t="s">
        <v>62</v>
      </c>
      <c r="B37" s="2">
        <v>300</v>
      </c>
      <c r="C37" s="29">
        <f>(B37*'Hora maquina'!C3)/B32</f>
        <v>9.2208333333333337E-2</v>
      </c>
      <c r="D37" s="2">
        <v>20</v>
      </c>
      <c r="E37" s="29">
        <f>D37*'Hora maquina'!C4</f>
        <v>0.30683333333333335</v>
      </c>
    </row>
    <row r="38" spans="1:6" x14ac:dyDescent="0.25">
      <c r="A38" s="40" t="s">
        <v>57</v>
      </c>
      <c r="B38" s="41"/>
      <c r="C38" s="41"/>
      <c r="D38" s="42"/>
      <c r="E38" s="35">
        <f>(C35+E35+C37+E37+C36+E36)*B33</f>
        <v>0.95134166666666664</v>
      </c>
    </row>
    <row r="39" spans="1:6" x14ac:dyDescent="0.25">
      <c r="A39" s="4"/>
      <c r="B39" s="4"/>
    </row>
    <row r="40" spans="1:6" x14ac:dyDescent="0.25">
      <c r="A40" s="25" t="s">
        <v>47</v>
      </c>
      <c r="B40" s="5" t="str">
        <f>A6</f>
        <v>TP 01001D</v>
      </c>
      <c r="C40" s="3"/>
      <c r="D40" s="37"/>
      <c r="E40" s="37"/>
      <c r="F40" s="37"/>
    </row>
    <row r="41" spans="1:6" x14ac:dyDescent="0.25">
      <c r="A41" s="25" t="s">
        <v>48</v>
      </c>
      <c r="B41" s="5" t="str">
        <f>B6</f>
        <v>FECHAMENTO INFERIOR 130 X 94 X 3MM</v>
      </c>
      <c r="D41" s="32"/>
      <c r="E41" s="32"/>
      <c r="F41" s="32"/>
    </row>
    <row r="42" spans="1:6" x14ac:dyDescent="0.25">
      <c r="A42" s="25" t="s">
        <v>49</v>
      </c>
      <c r="B42" s="2">
        <v>100</v>
      </c>
      <c r="D42" s="32"/>
      <c r="E42" s="32"/>
      <c r="F42" s="32"/>
    </row>
    <row r="43" spans="1:6" x14ac:dyDescent="0.25">
      <c r="A43" s="25" t="s">
        <v>50</v>
      </c>
      <c r="B43" s="2">
        <f>C6</f>
        <v>1</v>
      </c>
      <c r="D43" s="32"/>
      <c r="E43" s="32"/>
      <c r="F43" s="32"/>
    </row>
    <row r="44" spans="1:6" x14ac:dyDescent="0.25">
      <c r="A44" s="2" t="s">
        <v>51</v>
      </c>
      <c r="B44" s="31" t="s">
        <v>52</v>
      </c>
      <c r="C44" s="2" t="s">
        <v>53</v>
      </c>
      <c r="D44" s="2" t="s">
        <v>54</v>
      </c>
      <c r="E44" s="2" t="s">
        <v>55</v>
      </c>
    </row>
    <row r="45" spans="1:6" x14ac:dyDescent="0.25">
      <c r="A45" s="26" t="s">
        <v>58</v>
      </c>
      <c r="B45" s="2">
        <v>300</v>
      </c>
      <c r="C45" s="29">
        <f>(B45*'Hora maquina'!C4)/B42</f>
        <v>4.6025000000000003E-2</v>
      </c>
      <c r="D45" s="2">
        <v>15</v>
      </c>
      <c r="E45" s="29">
        <f>D45*'Hora maquina'!C4</f>
        <v>0.230125</v>
      </c>
    </row>
    <row r="46" spans="1:6" x14ac:dyDescent="0.25">
      <c r="A46" s="26" t="s">
        <v>59</v>
      </c>
      <c r="B46" s="2">
        <v>300</v>
      </c>
      <c r="C46" s="29">
        <f>(B46*'Hora maquina'!C4)/B42</f>
        <v>4.6025000000000003E-2</v>
      </c>
      <c r="D46" s="2">
        <v>15</v>
      </c>
      <c r="E46" s="29">
        <f>D46*'Hora maquina'!C4</f>
        <v>0.230125</v>
      </c>
    </row>
    <row r="47" spans="1:6" x14ac:dyDescent="0.25">
      <c r="A47" s="26" t="s">
        <v>62</v>
      </c>
      <c r="B47" s="2">
        <v>300</v>
      </c>
      <c r="C47" s="29">
        <f>(B47*'Hora maquina'!C3)/B42</f>
        <v>9.2208333333333337E-2</v>
      </c>
      <c r="D47" s="2">
        <v>20</v>
      </c>
      <c r="E47" s="29">
        <f>D47*'Hora maquina'!C3</f>
        <v>0.61472222222222228</v>
      </c>
    </row>
    <row r="48" spans="1:6" x14ac:dyDescent="0.25">
      <c r="A48" s="40" t="s">
        <v>57</v>
      </c>
      <c r="B48" s="41"/>
      <c r="C48" s="41"/>
      <c r="D48" s="42"/>
      <c r="E48" s="35">
        <f>(C45+E45+C47+E47+C46+E46)*B43</f>
        <v>1.2592305555555556</v>
      </c>
    </row>
    <row r="49" spans="1:5" x14ac:dyDescent="0.25">
      <c r="A49" s="4"/>
      <c r="B49" s="4"/>
    </row>
    <row r="50" spans="1:5" x14ac:dyDescent="0.25">
      <c r="A50" s="25" t="s">
        <v>47</v>
      </c>
      <c r="B50" s="5" t="str">
        <f>A8</f>
        <v>BU 0120E</v>
      </c>
    </row>
    <row r="51" spans="1:5" x14ac:dyDescent="0.25">
      <c r="A51" s="25" t="s">
        <v>48</v>
      </c>
      <c r="B51" s="5" t="str">
        <f>B8</f>
        <v>BUCHA EXTERNA 120MM</v>
      </c>
    </row>
    <row r="52" spans="1:5" x14ac:dyDescent="0.25">
      <c r="A52" s="25" t="s">
        <v>49</v>
      </c>
      <c r="B52" s="2">
        <v>100</v>
      </c>
    </row>
    <row r="53" spans="1:5" x14ac:dyDescent="0.25">
      <c r="A53" s="56" t="s">
        <v>50</v>
      </c>
      <c r="B53" s="50">
        <v>1</v>
      </c>
    </row>
    <row r="54" spans="1:5" x14ac:dyDescent="0.25">
      <c r="A54" s="2" t="s">
        <v>51</v>
      </c>
      <c r="B54" s="2" t="s">
        <v>52</v>
      </c>
      <c r="C54" s="2" t="s">
        <v>53</v>
      </c>
      <c r="D54" s="2" t="s">
        <v>54</v>
      </c>
      <c r="E54" s="2" t="s">
        <v>55</v>
      </c>
    </row>
    <row r="55" spans="1:5" x14ac:dyDescent="0.25">
      <c r="A55" s="5" t="s">
        <v>85</v>
      </c>
      <c r="B55" s="2">
        <v>300</v>
      </c>
      <c r="C55" s="30">
        <v>0.03</v>
      </c>
      <c r="D55" s="2">
        <v>60</v>
      </c>
      <c r="E55" s="30">
        <v>0.69</v>
      </c>
    </row>
    <row r="56" spans="1:5" x14ac:dyDescent="0.25">
      <c r="A56" s="40" t="s">
        <v>57</v>
      </c>
      <c r="B56" s="41"/>
      <c r="C56" s="41"/>
      <c r="D56" s="42"/>
      <c r="E56" s="35">
        <f>C55+E55</f>
        <v>0.72</v>
      </c>
    </row>
    <row r="57" spans="1:5" x14ac:dyDescent="0.25">
      <c r="A57" s="4"/>
      <c r="B57" s="4"/>
    </row>
    <row r="58" spans="1:5" x14ac:dyDescent="0.25">
      <c r="A58" s="4"/>
      <c r="B58" s="4"/>
    </row>
    <row r="59" spans="1:5" x14ac:dyDescent="0.25">
      <c r="A59" s="4"/>
      <c r="B59" s="4"/>
    </row>
    <row r="60" spans="1:5" x14ac:dyDescent="0.25">
      <c r="A60" s="25" t="s">
        <v>47</v>
      </c>
      <c r="B60" s="5" t="str">
        <f>A8</f>
        <v>BU 0120E</v>
      </c>
    </row>
    <row r="61" spans="1:5" x14ac:dyDescent="0.25">
      <c r="A61" s="25" t="s">
        <v>48</v>
      </c>
      <c r="B61" s="5" t="str">
        <f>B8</f>
        <v>BUCHA EXTERNA 120MM</v>
      </c>
    </row>
    <row r="62" spans="1:5" x14ac:dyDescent="0.25">
      <c r="A62" s="25" t="s">
        <v>49</v>
      </c>
      <c r="B62" s="2">
        <v>100</v>
      </c>
    </row>
    <row r="63" spans="1:5" x14ac:dyDescent="0.25">
      <c r="A63" s="56" t="s">
        <v>50</v>
      </c>
      <c r="B63" s="50">
        <v>1</v>
      </c>
    </row>
    <row r="64" spans="1:5" x14ac:dyDescent="0.25">
      <c r="A64" s="2" t="s">
        <v>51</v>
      </c>
      <c r="B64" s="2" t="s">
        <v>52</v>
      </c>
      <c r="C64" s="2" t="s">
        <v>53</v>
      </c>
      <c r="D64" s="2" t="s">
        <v>54</v>
      </c>
      <c r="E64" s="2" t="s">
        <v>55</v>
      </c>
    </row>
    <row r="65" spans="1:5" x14ac:dyDescent="0.25">
      <c r="A65" s="5" t="s">
        <v>58</v>
      </c>
      <c r="B65" s="2">
        <v>300</v>
      </c>
      <c r="C65" s="30">
        <v>0.02</v>
      </c>
      <c r="D65" s="2">
        <v>15</v>
      </c>
      <c r="E65" s="30">
        <v>0.23</v>
      </c>
    </row>
    <row r="66" spans="1:5" x14ac:dyDescent="0.25">
      <c r="A66" s="5" t="s">
        <v>59</v>
      </c>
      <c r="B66" s="48">
        <v>300</v>
      </c>
      <c r="C66" s="57">
        <v>0.02</v>
      </c>
      <c r="D66" s="48">
        <v>15</v>
      </c>
      <c r="E66" s="57">
        <v>0.23</v>
      </c>
    </row>
    <row r="67" spans="1:5" x14ac:dyDescent="0.25">
      <c r="A67" s="25" t="s">
        <v>82</v>
      </c>
      <c r="B67" s="48">
        <v>300</v>
      </c>
      <c r="C67" s="57">
        <v>0.02</v>
      </c>
      <c r="D67" s="48">
        <v>120</v>
      </c>
      <c r="E67" s="57">
        <v>1.39</v>
      </c>
    </row>
    <row r="68" spans="1:5" x14ac:dyDescent="0.25">
      <c r="A68" s="25" t="s">
        <v>83</v>
      </c>
      <c r="B68" s="48">
        <v>300</v>
      </c>
      <c r="C68" s="57">
        <v>0.02</v>
      </c>
      <c r="D68" s="48">
        <v>35</v>
      </c>
      <c r="E68" s="57">
        <v>0.36</v>
      </c>
    </row>
    <row r="69" spans="1:5" x14ac:dyDescent="0.25">
      <c r="A69" s="25" t="s">
        <v>84</v>
      </c>
      <c r="B69" s="48">
        <v>300</v>
      </c>
      <c r="C69" s="57">
        <v>0.01</v>
      </c>
      <c r="D69" s="48">
        <v>45</v>
      </c>
      <c r="E69" s="57">
        <v>0.28000000000000003</v>
      </c>
    </row>
    <row r="70" spans="1:5" x14ac:dyDescent="0.25">
      <c r="A70" s="40" t="s">
        <v>57</v>
      </c>
      <c r="B70" s="41"/>
      <c r="C70" s="41"/>
      <c r="D70" s="42"/>
      <c r="E70" s="35">
        <f>C65+E65+C66+E66+C67+E67+C68+E68+C69+E69</f>
        <v>2.58</v>
      </c>
    </row>
    <row r="71" spans="1:5" x14ac:dyDescent="0.25">
      <c r="A71" s="4"/>
      <c r="B71" s="4"/>
    </row>
    <row r="72" spans="1:5" x14ac:dyDescent="0.25">
      <c r="A72" s="5" t="s">
        <v>47</v>
      </c>
      <c r="B72" s="5" t="str">
        <f>A9</f>
        <v>-</v>
      </c>
      <c r="C72" s="46"/>
      <c r="D72" s="36"/>
      <c r="E72" s="36"/>
    </row>
    <row r="73" spans="1:5" x14ac:dyDescent="0.25">
      <c r="A73" s="5" t="s">
        <v>48</v>
      </c>
      <c r="B73" s="5" t="str">
        <f>B9</f>
        <v>BUCHA INTERNA 50,4MM ACABADA</v>
      </c>
      <c r="C73" s="45"/>
      <c r="D73" s="49"/>
      <c r="E73" s="49"/>
    </row>
    <row r="74" spans="1:5" x14ac:dyDescent="0.25">
      <c r="A74" s="5" t="s">
        <v>49</v>
      </c>
      <c r="B74" s="2">
        <v>200</v>
      </c>
      <c r="C74" s="45"/>
      <c r="D74" s="49"/>
      <c r="E74" s="49"/>
    </row>
    <row r="75" spans="1:5" x14ac:dyDescent="0.25">
      <c r="A75" s="5" t="s">
        <v>50</v>
      </c>
      <c r="B75" s="50">
        <v>2</v>
      </c>
      <c r="C75" s="45"/>
      <c r="D75" s="49"/>
      <c r="E75" s="49"/>
    </row>
    <row r="76" spans="1:5" x14ac:dyDescent="0.25">
      <c r="A76" s="2" t="s">
        <v>51</v>
      </c>
      <c r="B76" s="2" t="s">
        <v>52</v>
      </c>
      <c r="C76" s="2" t="s">
        <v>53</v>
      </c>
      <c r="D76" s="2" t="s">
        <v>54</v>
      </c>
      <c r="E76" s="2" t="s">
        <v>55</v>
      </c>
    </row>
    <row r="77" spans="1:5" x14ac:dyDescent="0.25">
      <c r="A77" s="5" t="s">
        <v>81</v>
      </c>
      <c r="B77" s="51">
        <v>1.74</v>
      </c>
      <c r="C77" s="51"/>
      <c r="D77" s="51"/>
      <c r="E77" s="51"/>
    </row>
    <row r="78" spans="1:5" x14ac:dyDescent="0.25">
      <c r="A78" s="40" t="s">
        <v>57</v>
      </c>
      <c r="B78" s="41"/>
      <c r="C78" s="41"/>
      <c r="D78" s="42"/>
      <c r="E78" s="35">
        <f>B77*2</f>
        <v>3.48</v>
      </c>
    </row>
    <row r="79" spans="1:5" x14ac:dyDescent="0.25">
      <c r="A79" s="52"/>
      <c r="B79" s="53"/>
      <c r="C79" s="54"/>
      <c r="D79" s="54"/>
      <c r="E79" s="55"/>
    </row>
    <row r="80" spans="1:5" x14ac:dyDescent="0.25">
      <c r="A80" s="5" t="s">
        <v>48</v>
      </c>
      <c r="B80" s="5" t="str">
        <f>B10</f>
        <v>BUCHA INTERNA 50,4MM SEMI-ACABADA</v>
      </c>
      <c r="C80" s="45"/>
      <c r="D80" s="49"/>
      <c r="E80" s="49"/>
    </row>
    <row r="81" spans="1:6" x14ac:dyDescent="0.25">
      <c r="A81" s="5" t="s">
        <v>49</v>
      </c>
      <c r="B81" s="2">
        <v>200</v>
      </c>
      <c r="C81" s="45"/>
      <c r="D81" s="49"/>
      <c r="E81" s="49"/>
    </row>
    <row r="82" spans="1:6" x14ac:dyDescent="0.25">
      <c r="A82" s="5" t="s">
        <v>50</v>
      </c>
      <c r="B82" s="50">
        <v>2</v>
      </c>
      <c r="C82" s="45"/>
      <c r="D82" s="49"/>
      <c r="E82" s="49"/>
    </row>
    <row r="83" spans="1:6" x14ac:dyDescent="0.25">
      <c r="A83" s="2" t="s">
        <v>51</v>
      </c>
      <c r="B83" s="2" t="s">
        <v>52</v>
      </c>
      <c r="C83" s="2" t="s">
        <v>53</v>
      </c>
      <c r="D83" s="2" t="s">
        <v>54</v>
      </c>
      <c r="E83" s="2" t="s">
        <v>55</v>
      </c>
    </row>
    <row r="84" spans="1:6" x14ac:dyDescent="0.25">
      <c r="A84" s="5" t="s">
        <v>79</v>
      </c>
      <c r="B84" s="2">
        <v>300</v>
      </c>
      <c r="C84" s="30">
        <v>0.03</v>
      </c>
      <c r="D84" s="2">
        <v>60</v>
      </c>
      <c r="E84" s="29">
        <v>0.67</v>
      </c>
    </row>
    <row r="85" spans="1:6" x14ac:dyDescent="0.25">
      <c r="A85" s="5" t="s">
        <v>80</v>
      </c>
      <c r="B85" s="48">
        <v>300</v>
      </c>
      <c r="C85" s="30">
        <v>0.04</v>
      </c>
      <c r="D85" s="48">
        <v>60</v>
      </c>
      <c r="E85" s="30">
        <v>0.7</v>
      </c>
    </row>
    <row r="86" spans="1:6" x14ac:dyDescent="0.25">
      <c r="A86" s="40" t="s">
        <v>57</v>
      </c>
      <c r="B86" s="41"/>
      <c r="C86" s="41"/>
      <c r="D86" s="42"/>
      <c r="E86" s="35">
        <f>(C84+C85+E84+E85)*2</f>
        <v>2.88</v>
      </c>
    </row>
    <row r="87" spans="1:6" x14ac:dyDescent="0.25">
      <c r="A87" s="4"/>
      <c r="B87" s="4"/>
    </row>
    <row r="88" spans="1:6" x14ac:dyDescent="0.25">
      <c r="A88" s="25" t="s">
        <v>47</v>
      </c>
      <c r="B88" s="5" t="str">
        <f>A2</f>
        <v>RN 01001</v>
      </c>
    </row>
    <row r="89" spans="1:6" x14ac:dyDescent="0.25">
      <c r="A89" s="25" t="s">
        <v>48</v>
      </c>
      <c r="B89" s="5" t="str">
        <f>B2</f>
        <v>BALANÇA ASA DELTA CARRETA PINO Ø 50MM</v>
      </c>
      <c r="D89" s="37"/>
      <c r="E89" s="37"/>
      <c r="F89" s="37"/>
    </row>
    <row r="90" spans="1:6" x14ac:dyDescent="0.25">
      <c r="A90" s="25" t="s">
        <v>49</v>
      </c>
      <c r="B90" s="2">
        <v>100</v>
      </c>
      <c r="D90" s="38"/>
      <c r="E90" s="38"/>
      <c r="F90" s="38"/>
    </row>
    <row r="91" spans="1:6" x14ac:dyDescent="0.25">
      <c r="A91" s="25" t="s">
        <v>50</v>
      </c>
      <c r="B91" s="2">
        <v>1</v>
      </c>
      <c r="D91" s="39"/>
      <c r="E91" s="39"/>
      <c r="F91" s="39"/>
    </row>
    <row r="92" spans="1:6" x14ac:dyDescent="0.25">
      <c r="A92" s="34" t="s">
        <v>51</v>
      </c>
      <c r="B92" s="2" t="s">
        <v>52</v>
      </c>
      <c r="C92" s="2" t="s">
        <v>53</v>
      </c>
      <c r="D92" s="2" t="s">
        <v>54</v>
      </c>
      <c r="E92" s="2" t="s">
        <v>55</v>
      </c>
    </row>
    <row r="93" spans="1:6" x14ac:dyDescent="0.25">
      <c r="A93" s="25" t="s">
        <v>63</v>
      </c>
      <c r="B93" s="2">
        <v>300</v>
      </c>
      <c r="C93" s="29">
        <f>(B93*'Hora maquina'!C5)/B90</f>
        <v>3.0908333333333336E-2</v>
      </c>
      <c r="D93" s="2">
        <v>240</v>
      </c>
      <c r="E93" s="29">
        <f>D93*'Hora maquina'!C5</f>
        <v>2.472666666666667</v>
      </c>
    </row>
    <row r="94" spans="1:6" x14ac:dyDescent="0.25">
      <c r="A94" s="5" t="s">
        <v>64</v>
      </c>
      <c r="B94" s="2">
        <v>300</v>
      </c>
      <c r="C94" s="29">
        <f>(B94*'Hora maquina'!C5)/B90</f>
        <v>3.0908333333333336E-2</v>
      </c>
      <c r="D94" s="2">
        <v>360</v>
      </c>
      <c r="E94" s="29">
        <f>D94*'Hora maquina'!C5</f>
        <v>3.7090000000000005</v>
      </c>
    </row>
    <row r="95" spans="1:6" x14ac:dyDescent="0.25">
      <c r="A95" s="5" t="s">
        <v>31</v>
      </c>
      <c r="B95" s="2">
        <v>300</v>
      </c>
      <c r="C95" s="30">
        <f>(B95*'Hora maquina'!C8)/B90</f>
        <v>2.1491666666666669E-2</v>
      </c>
      <c r="D95" s="2">
        <v>90</v>
      </c>
      <c r="E95" s="29">
        <f>D95*'Hora maquina'!C8</f>
        <v>0.64475000000000005</v>
      </c>
    </row>
    <row r="96" spans="1:6" x14ac:dyDescent="0.25">
      <c r="A96" s="5" t="s">
        <v>33</v>
      </c>
      <c r="B96" s="2">
        <v>300</v>
      </c>
      <c r="C96" s="29">
        <f>(B96*'Hora maquina'!C9)/B90</f>
        <v>5.2927918320105821E-2</v>
      </c>
      <c r="D96" s="2">
        <v>90</v>
      </c>
      <c r="E96" s="29">
        <f>D96*'Hora maquina'!C9</f>
        <v>1.5878375496031747</v>
      </c>
    </row>
    <row r="97" spans="1:5" x14ac:dyDescent="0.25">
      <c r="A97" s="40" t="s">
        <v>57</v>
      </c>
      <c r="B97" s="41"/>
      <c r="C97" s="41"/>
      <c r="D97" s="42"/>
      <c r="E97" s="35">
        <f>(SUM(C93:C96)+SUM(E93:E96))</f>
        <v>8.5504904679232823</v>
      </c>
    </row>
  </sheetData>
  <mergeCells count="17">
    <mergeCell ref="A56:D56"/>
    <mergeCell ref="B77:E77"/>
    <mergeCell ref="A78:D78"/>
    <mergeCell ref="A86:D86"/>
    <mergeCell ref="D89:F89"/>
    <mergeCell ref="D90:F90"/>
    <mergeCell ref="D91:F91"/>
    <mergeCell ref="A97:D97"/>
    <mergeCell ref="A70:D70"/>
    <mergeCell ref="A28:D28"/>
    <mergeCell ref="D30:F30"/>
    <mergeCell ref="A38:D38"/>
    <mergeCell ref="D40:F40"/>
    <mergeCell ref="A48:D48"/>
    <mergeCell ref="D20:F20"/>
    <mergeCell ref="D12:F12"/>
    <mergeCell ref="A18:D18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DC15-5433-4012-BBE8-088D9816DD0B}">
  <dimension ref="A1:H24"/>
  <sheetViews>
    <sheetView workbookViewId="0">
      <selection activeCell="F12" sqref="F12"/>
    </sheetView>
  </sheetViews>
  <sheetFormatPr defaultRowHeight="15" x14ac:dyDescent="0.25"/>
  <cols>
    <col min="1" max="1" width="39.5703125" bestFit="1" customWidth="1"/>
    <col min="2" max="2" width="22.7109375" bestFit="1" customWidth="1"/>
    <col min="3" max="3" width="11" bestFit="1" customWidth="1"/>
    <col min="4" max="4" width="9.5703125" bestFit="1" customWidth="1"/>
    <col min="7" max="7" width="19.28515625" bestFit="1" customWidth="1"/>
    <col min="8" max="8" width="15" bestFit="1" customWidth="1"/>
  </cols>
  <sheetData>
    <row r="1" spans="1:8" x14ac:dyDescent="0.25">
      <c r="A1" s="7" t="s">
        <v>14</v>
      </c>
      <c r="B1" s="8" t="s">
        <v>15</v>
      </c>
      <c r="C1" s="8" t="s">
        <v>16</v>
      </c>
      <c r="G1" s="7" t="s">
        <v>17</v>
      </c>
      <c r="H1" s="8" t="s">
        <v>18</v>
      </c>
    </row>
    <row r="2" spans="1:8" x14ac:dyDescent="0.25">
      <c r="A2" s="9" t="s">
        <v>19</v>
      </c>
      <c r="B2" s="10">
        <v>118.55</v>
      </c>
      <c r="C2" s="11">
        <v>3.2930555555555553E-2</v>
      </c>
      <c r="G2" s="19" t="s">
        <v>20</v>
      </c>
      <c r="H2" s="19">
        <v>84.78</v>
      </c>
    </row>
    <row r="3" spans="1:8" x14ac:dyDescent="0.25">
      <c r="A3" s="12" t="s">
        <v>21</v>
      </c>
      <c r="B3" s="13">
        <v>110.65</v>
      </c>
      <c r="C3" s="14">
        <v>3.0736111111111113E-2</v>
      </c>
      <c r="G3" s="19" t="s">
        <v>22</v>
      </c>
      <c r="H3" s="19">
        <v>134.24</v>
      </c>
    </row>
    <row r="4" spans="1:8" x14ac:dyDescent="0.25">
      <c r="A4" s="9" t="s">
        <v>23</v>
      </c>
      <c r="B4" s="10">
        <v>55.23</v>
      </c>
      <c r="C4" s="11">
        <v>1.5341666666666667E-2</v>
      </c>
      <c r="G4" s="19" t="s">
        <v>24</v>
      </c>
      <c r="H4" s="19">
        <v>179.45</v>
      </c>
    </row>
    <row r="5" spans="1:8" x14ac:dyDescent="0.25">
      <c r="A5" s="12" t="s">
        <v>25</v>
      </c>
      <c r="B5" s="13">
        <v>37.090000000000003</v>
      </c>
      <c r="C5" s="15">
        <v>1.0302777777777779E-2</v>
      </c>
      <c r="G5" s="19" t="s">
        <v>26</v>
      </c>
      <c r="H5" s="19">
        <v>226.08</v>
      </c>
    </row>
    <row r="6" spans="1:8" x14ac:dyDescent="0.25">
      <c r="A6" s="9" t="s">
        <v>27</v>
      </c>
      <c r="B6" s="10">
        <v>41.66</v>
      </c>
      <c r="C6" s="11">
        <v>1.1572222222222222E-2</v>
      </c>
      <c r="G6" s="19" t="s">
        <v>28</v>
      </c>
      <c r="H6" s="19">
        <v>268.47000000000003</v>
      </c>
    </row>
    <row r="7" spans="1:8" x14ac:dyDescent="0.25">
      <c r="A7" s="12" t="s">
        <v>29</v>
      </c>
      <c r="B7" s="15">
        <v>35.71</v>
      </c>
      <c r="C7" s="15">
        <v>9.9194444444444443E-3</v>
      </c>
      <c r="G7" s="19" t="s">
        <v>30</v>
      </c>
      <c r="H7" s="19">
        <v>358.9</v>
      </c>
    </row>
    <row r="8" spans="1:8" x14ac:dyDescent="0.25">
      <c r="A8" s="9" t="s">
        <v>31</v>
      </c>
      <c r="B8" s="10">
        <v>25.79</v>
      </c>
      <c r="C8" s="11">
        <v>7.1638888888888889E-3</v>
      </c>
      <c r="G8" s="19" t="s">
        <v>32</v>
      </c>
      <c r="H8" s="19">
        <v>448.77</v>
      </c>
    </row>
    <row r="9" spans="1:8" x14ac:dyDescent="0.25">
      <c r="A9" s="12" t="s">
        <v>33</v>
      </c>
      <c r="B9" s="13">
        <v>63.513501984126989</v>
      </c>
      <c r="C9" s="14">
        <v>1.7642639440035274E-2</v>
      </c>
    </row>
    <row r="10" spans="1:8" x14ac:dyDescent="0.25">
      <c r="A10" s="9" t="s">
        <v>34</v>
      </c>
      <c r="B10" s="10">
        <v>26.08</v>
      </c>
      <c r="C10" s="11">
        <v>7.244444444444444E-3</v>
      </c>
    </row>
    <row r="11" spans="1:8" x14ac:dyDescent="0.25">
      <c r="A11" s="12" t="s">
        <v>35</v>
      </c>
      <c r="B11" s="13">
        <v>25</v>
      </c>
      <c r="C11" s="14">
        <v>6.9444444444444441E-3</v>
      </c>
    </row>
    <row r="12" spans="1:8" x14ac:dyDescent="0.25">
      <c r="A12" s="16" t="s">
        <v>36</v>
      </c>
      <c r="B12" s="10">
        <v>39.93</v>
      </c>
      <c r="C12" s="11">
        <v>1.1091666666666666E-2</v>
      </c>
    </row>
    <row r="14" spans="1:8" x14ac:dyDescent="0.25">
      <c r="A14" s="17" t="s">
        <v>37</v>
      </c>
      <c r="B14" s="18">
        <v>4.7</v>
      </c>
    </row>
    <row r="17" spans="1:4" x14ac:dyDescent="0.25">
      <c r="C17" s="19" t="s">
        <v>38</v>
      </c>
      <c r="D17" s="19" t="s">
        <v>39</v>
      </c>
    </row>
    <row r="18" spans="1:4" x14ac:dyDescent="0.25">
      <c r="A18" s="20" t="s">
        <v>40</v>
      </c>
      <c r="B18" s="21">
        <v>350.14</v>
      </c>
      <c r="C18" s="22">
        <v>3.2122935779816513</v>
      </c>
      <c r="D18" s="19" t="s">
        <v>41</v>
      </c>
    </row>
    <row r="19" spans="1:4" x14ac:dyDescent="0.25">
      <c r="A19" s="20" t="s">
        <v>42</v>
      </c>
      <c r="B19" s="21">
        <v>1130</v>
      </c>
      <c r="C19" s="22">
        <v>10</v>
      </c>
      <c r="D19" s="19"/>
    </row>
    <row r="20" spans="1:4" x14ac:dyDescent="0.25">
      <c r="A20" s="20" t="s">
        <v>43</v>
      </c>
      <c r="B20" s="21">
        <v>813.35</v>
      </c>
      <c r="C20" s="19" t="s">
        <v>41</v>
      </c>
      <c r="D20" s="22">
        <v>15.346226415094341</v>
      </c>
    </row>
    <row r="22" spans="1:4" x14ac:dyDescent="0.25">
      <c r="A22" s="44" t="s">
        <v>44</v>
      </c>
      <c r="B22" s="44"/>
    </row>
    <row r="23" spans="1:4" x14ac:dyDescent="0.25">
      <c r="A23" s="23" t="s">
        <v>45</v>
      </c>
      <c r="B23" s="24">
        <v>300</v>
      </c>
    </row>
    <row r="24" spans="1:4" x14ac:dyDescent="0.25">
      <c r="A24" s="23" t="s">
        <v>46</v>
      </c>
      <c r="B24" s="24">
        <v>5.8</v>
      </c>
    </row>
  </sheetData>
  <mergeCells count="1">
    <mergeCell ref="A22:B2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Hora maquina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2026-06-25T13:49:54Z</dcterms:created>
  <dcterms:modified xsi:type="dcterms:W3CDTF">2026-09-01T20:56:10Z</dcterms:modified>
</cp:coreProperties>
</file>